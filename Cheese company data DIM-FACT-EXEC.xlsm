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Training\"/>
    </mc:Choice>
  </mc:AlternateContent>
  <xr:revisionPtr revIDLastSave="0" documentId="10_ncr:100000_{321BE4EA-929D-44BE-B6BD-B57C68C9A341}" xr6:coauthVersionLast="31" xr6:coauthVersionMax="31" xr10:uidLastSave="{00000000-0000-0000-0000-000000000000}"/>
  <bookViews>
    <workbookView xWindow="0" yWindow="0" windowWidth="13536" windowHeight="4812" firstSheet="2" activeTab="5" xr2:uid="{00000000-000D-0000-FFFF-FFFF00000000}"/>
  </bookViews>
  <sheets>
    <sheet name="Sold units" sheetId="1" r:id="rId1"/>
    <sheet name="Price value" sheetId="4" r:id="rId2"/>
    <sheet name="Sale value" sheetId="2" r:id="rId3"/>
    <sheet name="Time" sheetId="5" r:id="rId4"/>
    <sheet name="Products" sheetId="8" r:id="rId5"/>
    <sheet name="Cities" sheetId="14" r:id="rId6"/>
    <sheet name="Stores" sheetId="11" r:id="rId7"/>
    <sheet name="Sales" sheetId="13" r:id="rId8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7" i="13" l="1"/>
  <c r="F235" i="13"/>
  <c r="F233" i="13"/>
  <c r="F232" i="13"/>
  <c r="F230" i="13"/>
  <c r="F229" i="13"/>
  <c r="F227" i="13"/>
  <c r="F226" i="13"/>
  <c r="E2" i="13"/>
  <c r="E335" i="13"/>
  <c r="E333" i="13"/>
  <c r="E331" i="13"/>
  <c r="E330" i="13"/>
  <c r="E328" i="13"/>
  <c r="E327" i="13"/>
  <c r="E325" i="13"/>
  <c r="E324" i="13"/>
  <c r="E307" i="13"/>
  <c r="E305" i="13"/>
  <c r="E303" i="13"/>
  <c r="E302" i="13"/>
  <c r="E300" i="13"/>
  <c r="E299" i="13"/>
  <c r="E297" i="13"/>
  <c r="E296" i="13"/>
  <c r="E279" i="13"/>
  <c r="E277" i="13"/>
  <c r="E275" i="13"/>
  <c r="E274" i="13"/>
  <c r="E272" i="13"/>
  <c r="E271" i="13"/>
  <c r="E269" i="13"/>
  <c r="E268" i="13"/>
  <c r="E265" i="13"/>
  <c r="E263" i="13"/>
  <c r="E261" i="13"/>
  <c r="E260" i="13"/>
  <c r="E258" i="13"/>
  <c r="E257" i="13"/>
  <c r="E255" i="13"/>
  <c r="E254" i="13"/>
  <c r="E251" i="13"/>
  <c r="E249" i="13"/>
  <c r="E247" i="13"/>
  <c r="E246" i="13"/>
  <c r="E244" i="13"/>
  <c r="E243" i="13"/>
  <c r="E241" i="13"/>
  <c r="E240" i="13"/>
  <c r="E237" i="13"/>
  <c r="E235" i="13"/>
  <c r="E233" i="13"/>
  <c r="E232" i="13"/>
  <c r="E230" i="13"/>
  <c r="E229" i="13"/>
  <c r="E227" i="13"/>
  <c r="E226" i="13"/>
  <c r="E209" i="13"/>
  <c r="E207" i="13"/>
  <c r="E205" i="13"/>
  <c r="E204" i="13"/>
  <c r="E202" i="13"/>
  <c r="E201" i="13"/>
  <c r="E199" i="13"/>
  <c r="E198" i="13"/>
  <c r="E195" i="13"/>
  <c r="E193" i="13"/>
  <c r="E191" i="13"/>
  <c r="E190" i="13"/>
  <c r="E188" i="13"/>
  <c r="E187" i="13"/>
  <c r="E185" i="13"/>
  <c r="E184" i="13"/>
  <c r="E153" i="13"/>
  <c r="E151" i="13"/>
  <c r="E149" i="13"/>
  <c r="E148" i="13"/>
  <c r="E146" i="13"/>
  <c r="E145" i="13"/>
  <c r="E143" i="13"/>
  <c r="E142" i="13"/>
  <c r="E125" i="13"/>
  <c r="E123" i="13"/>
  <c r="E121" i="13"/>
  <c r="E120" i="13"/>
  <c r="E118" i="13"/>
  <c r="E117" i="13"/>
  <c r="E115" i="13"/>
  <c r="E114" i="13"/>
  <c r="E97" i="13"/>
  <c r="E95" i="13"/>
  <c r="E93" i="13"/>
  <c r="E92" i="13"/>
  <c r="E90" i="13"/>
  <c r="E89" i="13"/>
  <c r="E87" i="13"/>
  <c r="E86" i="13"/>
  <c r="E83" i="13"/>
  <c r="E81" i="13"/>
  <c r="E79" i="13"/>
  <c r="E78" i="13"/>
  <c r="E76" i="13"/>
  <c r="E75" i="13"/>
  <c r="E73" i="13"/>
  <c r="E72" i="13"/>
  <c r="E69" i="13"/>
  <c r="E67" i="13"/>
  <c r="E65" i="13"/>
  <c r="E64" i="13"/>
  <c r="E62" i="13"/>
  <c r="E61" i="13"/>
  <c r="E59" i="13"/>
  <c r="E58" i="13"/>
  <c r="E55" i="13"/>
  <c r="E53" i="13"/>
  <c r="E51" i="13"/>
  <c r="E50" i="13"/>
  <c r="E48" i="13"/>
  <c r="E47" i="13"/>
  <c r="E45" i="13"/>
  <c r="E44" i="13"/>
  <c r="E27" i="13"/>
  <c r="E25" i="13"/>
  <c r="E23" i="13"/>
  <c r="E22" i="13"/>
  <c r="E20" i="13"/>
  <c r="E19" i="13"/>
  <c r="E17" i="13"/>
  <c r="E16" i="13"/>
  <c r="E13" i="13"/>
  <c r="E11" i="13"/>
  <c r="E9" i="13"/>
  <c r="E8" i="13"/>
  <c r="E6" i="13"/>
  <c r="E5" i="13"/>
  <c r="E3" i="13"/>
  <c r="A4" i="14"/>
  <c r="A5" i="14"/>
  <c r="A2" i="14"/>
  <c r="A6" i="14"/>
  <c r="A3" i="14"/>
  <c r="Z15" i="2" l="1"/>
  <c r="F335" i="13" s="1"/>
  <c r="Z13" i="2"/>
  <c r="F333" i="13" s="1"/>
  <c r="Z11" i="2"/>
  <c r="F331" i="13" s="1"/>
  <c r="Z10" i="2"/>
  <c r="F330" i="13" s="1"/>
  <c r="Z8" i="2"/>
  <c r="F328" i="13" s="1"/>
  <c r="Z7" i="2"/>
  <c r="F327" i="13" s="1"/>
  <c r="Z5" i="2"/>
  <c r="F325" i="13" s="1"/>
  <c r="Z4" i="2"/>
  <c r="F324" i="13" s="1"/>
  <c r="X15" i="2"/>
  <c r="F307" i="13" s="1"/>
  <c r="X13" i="2"/>
  <c r="F305" i="13" s="1"/>
  <c r="X11" i="2"/>
  <c r="F303" i="13" s="1"/>
  <c r="X10" i="2"/>
  <c r="F302" i="13" s="1"/>
  <c r="X8" i="2"/>
  <c r="F300" i="13" s="1"/>
  <c r="X7" i="2"/>
  <c r="F299" i="13" s="1"/>
  <c r="X5" i="2"/>
  <c r="F297" i="13" s="1"/>
  <c r="X4" i="2"/>
  <c r="V15" i="2"/>
  <c r="F279" i="13" s="1"/>
  <c r="U15" i="2"/>
  <c r="F265" i="13" s="1"/>
  <c r="T15" i="2"/>
  <c r="V13" i="2"/>
  <c r="F277" i="13" s="1"/>
  <c r="U13" i="2"/>
  <c r="F263" i="13" s="1"/>
  <c r="T13" i="2"/>
  <c r="V11" i="2"/>
  <c r="F275" i="13" s="1"/>
  <c r="U11" i="2"/>
  <c r="F261" i="13" s="1"/>
  <c r="T11" i="2"/>
  <c r="V10" i="2"/>
  <c r="F274" i="13" s="1"/>
  <c r="U10" i="2"/>
  <c r="F260" i="13" s="1"/>
  <c r="T10" i="2"/>
  <c r="F246" i="13" s="1"/>
  <c r="V8" i="2"/>
  <c r="F272" i="13" s="1"/>
  <c r="U8" i="2"/>
  <c r="F258" i="13" s="1"/>
  <c r="T8" i="2"/>
  <c r="F244" i="13" s="1"/>
  <c r="V7" i="2"/>
  <c r="U7" i="2"/>
  <c r="F257" i="13" s="1"/>
  <c r="T7" i="2"/>
  <c r="F243" i="13" s="1"/>
  <c r="V5" i="2"/>
  <c r="F269" i="13" s="1"/>
  <c r="U5" i="2"/>
  <c r="F255" i="13" s="1"/>
  <c r="T5" i="2"/>
  <c r="F241" i="13" s="1"/>
  <c r="V4" i="2"/>
  <c r="U4" i="2"/>
  <c r="F254" i="13" s="1"/>
  <c r="T4" i="2"/>
  <c r="F240" i="13" s="1"/>
  <c r="Q15" i="2"/>
  <c r="F209" i="13" s="1"/>
  <c r="P15" i="2"/>
  <c r="F195" i="13" s="1"/>
  <c r="Q13" i="2"/>
  <c r="F207" i="13" s="1"/>
  <c r="P13" i="2"/>
  <c r="F193" i="13" s="1"/>
  <c r="Q11" i="2"/>
  <c r="F205" i="13" s="1"/>
  <c r="P11" i="2"/>
  <c r="F191" i="13" s="1"/>
  <c r="Q10" i="2"/>
  <c r="P10" i="2"/>
  <c r="Q8" i="2"/>
  <c r="F202" i="13" s="1"/>
  <c r="P8" i="2"/>
  <c r="F188" i="13" s="1"/>
  <c r="Q7" i="2"/>
  <c r="F201" i="13" s="1"/>
  <c r="P7" i="2"/>
  <c r="Q5" i="2"/>
  <c r="F199" i="13" s="1"/>
  <c r="P5" i="2"/>
  <c r="F185" i="13" s="1"/>
  <c r="Q4" i="2"/>
  <c r="F198" i="13" s="1"/>
  <c r="P4" i="2"/>
  <c r="M15" i="2"/>
  <c r="F153" i="13" s="1"/>
  <c r="M13" i="2"/>
  <c r="F151" i="13" s="1"/>
  <c r="M11" i="2"/>
  <c r="F149" i="13" s="1"/>
  <c r="M10" i="2"/>
  <c r="F148" i="13" s="1"/>
  <c r="M8" i="2"/>
  <c r="F146" i="13" s="1"/>
  <c r="M7" i="2"/>
  <c r="F145" i="13" s="1"/>
  <c r="M5" i="2"/>
  <c r="F143" i="13" s="1"/>
  <c r="M4" i="2"/>
  <c r="F142" i="13" s="1"/>
  <c r="K15" i="2"/>
  <c r="F125" i="13" s="1"/>
  <c r="K13" i="2"/>
  <c r="F123" i="13" s="1"/>
  <c r="K11" i="2"/>
  <c r="F121" i="13" s="1"/>
  <c r="K10" i="2"/>
  <c r="F120" i="13" s="1"/>
  <c r="K8" i="2"/>
  <c r="F118" i="13" s="1"/>
  <c r="K7" i="2"/>
  <c r="F117" i="13" s="1"/>
  <c r="K5" i="2"/>
  <c r="F115" i="13" s="1"/>
  <c r="K4" i="2"/>
  <c r="I15" i="2"/>
  <c r="F97" i="13" s="1"/>
  <c r="H15" i="2"/>
  <c r="F83" i="13" s="1"/>
  <c r="G15" i="2"/>
  <c r="F69" i="13" s="1"/>
  <c r="F15" i="2"/>
  <c r="I13" i="2"/>
  <c r="F95" i="13" s="1"/>
  <c r="H13" i="2"/>
  <c r="F81" i="13" s="1"/>
  <c r="G13" i="2"/>
  <c r="F67" i="13" s="1"/>
  <c r="F13" i="2"/>
  <c r="I11" i="2"/>
  <c r="F93" i="13" s="1"/>
  <c r="H11" i="2"/>
  <c r="F79" i="13" s="1"/>
  <c r="G11" i="2"/>
  <c r="F65" i="13" s="1"/>
  <c r="F11" i="2"/>
  <c r="I10" i="2"/>
  <c r="F92" i="13" s="1"/>
  <c r="H10" i="2"/>
  <c r="F78" i="13" s="1"/>
  <c r="G10" i="2"/>
  <c r="F64" i="13" s="1"/>
  <c r="F10" i="2"/>
  <c r="I8" i="2"/>
  <c r="F90" i="13" s="1"/>
  <c r="H8" i="2"/>
  <c r="F76" i="13" s="1"/>
  <c r="G8" i="2"/>
  <c r="F62" i="13" s="1"/>
  <c r="F8" i="2"/>
  <c r="I7" i="2"/>
  <c r="F89" i="13" s="1"/>
  <c r="H7" i="2"/>
  <c r="F75" i="13" s="1"/>
  <c r="G7" i="2"/>
  <c r="F61" i="13" s="1"/>
  <c r="F7" i="2"/>
  <c r="I5" i="2"/>
  <c r="F87" i="13" s="1"/>
  <c r="H5" i="2"/>
  <c r="F73" i="13" s="1"/>
  <c r="G5" i="2"/>
  <c r="F59" i="13" s="1"/>
  <c r="F5" i="2"/>
  <c r="I4" i="2"/>
  <c r="F86" i="13" s="1"/>
  <c r="H4" i="2"/>
  <c r="F72" i="13" s="1"/>
  <c r="G4" i="2"/>
  <c r="F58" i="13" s="1"/>
  <c r="F4" i="2"/>
  <c r="D15" i="2"/>
  <c r="F27" i="13" s="1"/>
  <c r="C15" i="2"/>
  <c r="F13" i="13" s="1"/>
  <c r="D13" i="2"/>
  <c r="C13" i="2"/>
  <c r="F11" i="13" s="1"/>
  <c r="D11" i="2"/>
  <c r="F23" i="13" s="1"/>
  <c r="C11" i="2"/>
  <c r="F9" i="13" s="1"/>
  <c r="D10" i="2"/>
  <c r="F22" i="13" s="1"/>
  <c r="C10" i="2"/>
  <c r="D8" i="2"/>
  <c r="F20" i="13" s="1"/>
  <c r="C8" i="2"/>
  <c r="F6" i="13" s="1"/>
  <c r="D7" i="2"/>
  <c r="F19" i="13" s="1"/>
  <c r="C7" i="2"/>
  <c r="C5" i="2"/>
  <c r="F3" i="13" s="1"/>
  <c r="D5" i="2"/>
  <c r="F17" i="13" s="1"/>
  <c r="D4" i="2"/>
  <c r="F16" i="13" s="1"/>
  <c r="C4" i="2"/>
  <c r="F2" i="13" s="1"/>
  <c r="J7" i="1"/>
  <c r="E103" i="13" s="1"/>
  <c r="Z16" i="2"/>
  <c r="X16" i="2"/>
  <c r="F308" i="13" s="1"/>
  <c r="V16" i="2"/>
  <c r="F280" i="13" s="1"/>
  <c r="U16" i="2"/>
  <c r="F266" i="13" s="1"/>
  <c r="S16" i="2"/>
  <c r="F238" i="13" s="1"/>
  <c r="Q16" i="2"/>
  <c r="F210" i="13" s="1"/>
  <c r="P16" i="2"/>
  <c r="F196" i="13" s="1"/>
  <c r="M16" i="2"/>
  <c r="F154" i="13" s="1"/>
  <c r="K16" i="2"/>
  <c r="I16" i="2"/>
  <c r="F98" i="13" s="1"/>
  <c r="H16" i="2"/>
  <c r="F84" i="13" s="1"/>
  <c r="G16" i="2"/>
  <c r="F70" i="13" s="1"/>
  <c r="D16" i="2"/>
  <c r="F28" i="13" s="1"/>
  <c r="C16" i="2"/>
  <c r="F14" i="13" s="1"/>
  <c r="AA15" i="2"/>
  <c r="F349" i="13" s="1"/>
  <c r="Y15" i="2"/>
  <c r="F321" i="13" s="1"/>
  <c r="R15" i="2"/>
  <c r="F223" i="13" s="1"/>
  <c r="N15" i="2"/>
  <c r="F167" i="13" s="1"/>
  <c r="L15" i="2"/>
  <c r="F139" i="13" s="1"/>
  <c r="E15" i="2"/>
  <c r="F41" i="13" s="1"/>
  <c r="AA14" i="2"/>
  <c r="F348" i="13" s="1"/>
  <c r="Z14" i="2"/>
  <c r="F334" i="13" s="1"/>
  <c r="X14" i="2"/>
  <c r="V14" i="2"/>
  <c r="F278" i="13" s="1"/>
  <c r="U14" i="2"/>
  <c r="F264" i="13" s="1"/>
  <c r="S14" i="2"/>
  <c r="F236" i="13" s="1"/>
  <c r="Q14" i="2"/>
  <c r="F208" i="13" s="1"/>
  <c r="P14" i="2"/>
  <c r="M14" i="2"/>
  <c r="F152" i="13" s="1"/>
  <c r="K14" i="2"/>
  <c r="I14" i="2"/>
  <c r="F96" i="13" s="1"/>
  <c r="H14" i="2"/>
  <c r="F82" i="13" s="1"/>
  <c r="AA13" i="2"/>
  <c r="F347" i="13" s="1"/>
  <c r="Y13" i="2"/>
  <c r="F319" i="13" s="1"/>
  <c r="N13" i="2"/>
  <c r="F165" i="13" s="1"/>
  <c r="L13" i="2"/>
  <c r="F137" i="13" s="1"/>
  <c r="X12" i="2"/>
  <c r="S12" i="2"/>
  <c r="F234" i="13" s="1"/>
  <c r="M12" i="2"/>
  <c r="I12" i="2"/>
  <c r="F94" i="13" s="1"/>
  <c r="H12" i="2"/>
  <c r="F80" i="13" s="1"/>
  <c r="G12" i="2"/>
  <c r="F66" i="13" s="1"/>
  <c r="AA11" i="2"/>
  <c r="F345" i="13" s="1"/>
  <c r="Y11" i="2"/>
  <c r="F317" i="13" s="1"/>
  <c r="R11" i="2"/>
  <c r="F219" i="13" s="1"/>
  <c r="N11" i="2"/>
  <c r="F163" i="13" s="1"/>
  <c r="L11" i="2"/>
  <c r="F135" i="13" s="1"/>
  <c r="E11" i="2"/>
  <c r="F37" i="13" s="1"/>
  <c r="W10" i="2"/>
  <c r="F288" i="13" s="1"/>
  <c r="Z9" i="2"/>
  <c r="X9" i="2"/>
  <c r="U9" i="2"/>
  <c r="F259" i="13" s="1"/>
  <c r="T9" i="2"/>
  <c r="F245" i="13" s="1"/>
  <c r="S9" i="2"/>
  <c r="F231" i="13" s="1"/>
  <c r="M9" i="2"/>
  <c r="K9" i="2"/>
  <c r="I9" i="2"/>
  <c r="F91" i="13" s="1"/>
  <c r="H9" i="2"/>
  <c r="F77" i="13" s="1"/>
  <c r="G9" i="2"/>
  <c r="F63" i="13" s="1"/>
  <c r="D9" i="2"/>
  <c r="F21" i="13" s="1"/>
  <c r="AA8" i="2"/>
  <c r="Y8" i="2"/>
  <c r="F314" i="13" s="1"/>
  <c r="W8" i="2"/>
  <c r="F286" i="13" s="1"/>
  <c r="R8" i="2"/>
  <c r="F216" i="13" s="1"/>
  <c r="N8" i="2"/>
  <c r="F160" i="13" s="1"/>
  <c r="L8" i="2"/>
  <c r="F132" i="13" s="1"/>
  <c r="E8" i="2"/>
  <c r="F34" i="13" s="1"/>
  <c r="AA7" i="2"/>
  <c r="F341" i="13" s="1"/>
  <c r="Y7" i="2"/>
  <c r="F313" i="13" s="1"/>
  <c r="N7" i="2"/>
  <c r="F159" i="13" s="1"/>
  <c r="L7" i="2"/>
  <c r="F131" i="13" s="1"/>
  <c r="Z6" i="2"/>
  <c r="S6" i="2"/>
  <c r="F228" i="13" s="1"/>
  <c r="I6" i="2"/>
  <c r="F88" i="13" s="1"/>
  <c r="H6" i="2"/>
  <c r="F74" i="13" s="1"/>
  <c r="D6" i="2"/>
  <c r="F18" i="13" s="1"/>
  <c r="Y5" i="2"/>
  <c r="F311" i="13" s="1"/>
  <c r="W5" i="2"/>
  <c r="F283" i="13" s="1"/>
  <c r="R5" i="2"/>
  <c r="F213" i="13" s="1"/>
  <c r="L5" i="2"/>
  <c r="F129" i="13" s="1"/>
  <c r="E5" i="2"/>
  <c r="F31" i="13" s="1"/>
  <c r="E4" i="2"/>
  <c r="F30" i="13" s="1"/>
  <c r="Z16" i="1"/>
  <c r="Z14" i="1"/>
  <c r="E334" i="13" s="1"/>
  <c r="X16" i="1"/>
  <c r="X14" i="1"/>
  <c r="V16" i="1"/>
  <c r="E280" i="13" s="1"/>
  <c r="U16" i="1"/>
  <c r="E266" i="13" s="1"/>
  <c r="T16" i="1"/>
  <c r="E252" i="13" s="1"/>
  <c r="S16" i="1"/>
  <c r="E238" i="13" s="1"/>
  <c r="V14" i="1"/>
  <c r="E278" i="13" s="1"/>
  <c r="U14" i="1"/>
  <c r="E264" i="13" s="1"/>
  <c r="T14" i="1"/>
  <c r="E250" i="13" s="1"/>
  <c r="S14" i="1"/>
  <c r="E236" i="13" s="1"/>
  <c r="Q14" i="1"/>
  <c r="E208" i="13" s="1"/>
  <c r="P14" i="1"/>
  <c r="Q16" i="1"/>
  <c r="P16" i="1"/>
  <c r="E196" i="13" s="1"/>
  <c r="M16" i="1"/>
  <c r="E154" i="13" s="1"/>
  <c r="M14" i="1"/>
  <c r="K16" i="1"/>
  <c r="K14" i="1"/>
  <c r="E124" i="13" s="1"/>
  <c r="I16" i="1"/>
  <c r="E98" i="13" s="1"/>
  <c r="H16" i="1"/>
  <c r="G16" i="1"/>
  <c r="E70" i="13" s="1"/>
  <c r="F16" i="1"/>
  <c r="E56" i="13" s="1"/>
  <c r="I14" i="1"/>
  <c r="E96" i="13" s="1"/>
  <c r="H14" i="1"/>
  <c r="E82" i="13" s="1"/>
  <c r="G14" i="1"/>
  <c r="E68" i="13" s="1"/>
  <c r="F14" i="1"/>
  <c r="E54" i="13" s="1"/>
  <c r="D16" i="1"/>
  <c r="E28" i="13" s="1"/>
  <c r="C16" i="1"/>
  <c r="D14" i="1"/>
  <c r="E26" i="13" s="1"/>
  <c r="C14" i="1"/>
  <c r="E12" i="13" s="1"/>
  <c r="Z12" i="1"/>
  <c r="Z9" i="1"/>
  <c r="E329" i="13" s="1"/>
  <c r="Z6" i="1"/>
  <c r="E326" i="13" s="1"/>
  <c r="X12" i="1"/>
  <c r="E304" i="13" s="1"/>
  <c r="X9" i="1"/>
  <c r="X6" i="1"/>
  <c r="V12" i="1"/>
  <c r="E276" i="13" s="1"/>
  <c r="U12" i="1"/>
  <c r="E262" i="13" s="1"/>
  <c r="T12" i="1"/>
  <c r="E248" i="13" s="1"/>
  <c r="V9" i="1"/>
  <c r="E273" i="13" s="1"/>
  <c r="U9" i="1"/>
  <c r="E259" i="13" s="1"/>
  <c r="T9" i="1"/>
  <c r="E245" i="13" s="1"/>
  <c r="V6" i="1"/>
  <c r="E270" i="13" s="1"/>
  <c r="U6" i="1"/>
  <c r="E256" i="13" s="1"/>
  <c r="T6" i="1"/>
  <c r="E242" i="13" s="1"/>
  <c r="S12" i="1"/>
  <c r="E234" i="13" s="1"/>
  <c r="S9" i="1"/>
  <c r="E231" i="13" s="1"/>
  <c r="S6" i="1"/>
  <c r="E228" i="13" s="1"/>
  <c r="Q12" i="1"/>
  <c r="E206" i="13" s="1"/>
  <c r="P12" i="1"/>
  <c r="Q9" i="1"/>
  <c r="E203" i="13" s="1"/>
  <c r="P9" i="1"/>
  <c r="E189" i="13" s="1"/>
  <c r="Q6" i="1"/>
  <c r="E200" i="13" s="1"/>
  <c r="P6" i="1"/>
  <c r="M12" i="1"/>
  <c r="E150" i="13" s="1"/>
  <c r="M9" i="1"/>
  <c r="M6" i="1"/>
  <c r="E144" i="13" s="1"/>
  <c r="K12" i="1"/>
  <c r="K9" i="1"/>
  <c r="K6" i="1"/>
  <c r="E116" i="13" s="1"/>
  <c r="I12" i="1"/>
  <c r="E94" i="13" s="1"/>
  <c r="H12" i="1"/>
  <c r="E80" i="13" s="1"/>
  <c r="G12" i="1"/>
  <c r="E66" i="13" s="1"/>
  <c r="F12" i="1"/>
  <c r="E52" i="13" s="1"/>
  <c r="I9" i="1"/>
  <c r="E91" i="13" s="1"/>
  <c r="H9" i="1"/>
  <c r="E77" i="13" s="1"/>
  <c r="G9" i="1"/>
  <c r="E63" i="13" s="1"/>
  <c r="F9" i="1"/>
  <c r="E49" i="13" s="1"/>
  <c r="I6" i="1"/>
  <c r="E88" i="13" s="1"/>
  <c r="H6" i="1"/>
  <c r="E74" i="13" s="1"/>
  <c r="G6" i="1"/>
  <c r="F6" i="1"/>
  <c r="E46" i="13" s="1"/>
  <c r="D12" i="1"/>
  <c r="E24" i="13" s="1"/>
  <c r="C12" i="1"/>
  <c r="E10" i="13" s="1"/>
  <c r="D9" i="1"/>
  <c r="E21" i="13" s="1"/>
  <c r="C9" i="1"/>
  <c r="E7" i="13" s="1"/>
  <c r="AA5" i="1"/>
  <c r="E339" i="13" s="1"/>
  <c r="AA7" i="1"/>
  <c r="E341" i="13" s="1"/>
  <c r="AA8" i="1"/>
  <c r="E342" i="13" s="1"/>
  <c r="AA9" i="1"/>
  <c r="E343" i="13" s="1"/>
  <c r="AA10" i="1"/>
  <c r="E344" i="13" s="1"/>
  <c r="AA11" i="1"/>
  <c r="E345" i="13" s="1"/>
  <c r="AA13" i="1"/>
  <c r="E347" i="13" s="1"/>
  <c r="AA14" i="1"/>
  <c r="E348" i="13" s="1"/>
  <c r="AA15" i="1"/>
  <c r="E349" i="13" s="1"/>
  <c r="AA4" i="1"/>
  <c r="E338" i="13" s="1"/>
  <c r="Y5" i="1"/>
  <c r="E311" i="13" s="1"/>
  <c r="Y7" i="1"/>
  <c r="E313" i="13" s="1"/>
  <c r="Y8" i="1"/>
  <c r="E314" i="13" s="1"/>
  <c r="Y10" i="1"/>
  <c r="E316" i="13" s="1"/>
  <c r="Y11" i="1"/>
  <c r="E317" i="13" s="1"/>
  <c r="Y13" i="1"/>
  <c r="E319" i="13" s="1"/>
  <c r="Y15" i="1"/>
  <c r="E321" i="13" s="1"/>
  <c r="Y4" i="1"/>
  <c r="E310" i="13" s="1"/>
  <c r="W5" i="1"/>
  <c r="E283" i="13" s="1"/>
  <c r="W7" i="1"/>
  <c r="E285" i="13" s="1"/>
  <c r="W8" i="1"/>
  <c r="E286" i="13" s="1"/>
  <c r="W10" i="1"/>
  <c r="E288" i="13" s="1"/>
  <c r="W11" i="1"/>
  <c r="E289" i="13" s="1"/>
  <c r="W13" i="1"/>
  <c r="E291" i="13" s="1"/>
  <c r="W15" i="1"/>
  <c r="W4" i="1"/>
  <c r="E282" i="13" s="1"/>
  <c r="R5" i="1"/>
  <c r="E213" i="13" s="1"/>
  <c r="R7" i="1"/>
  <c r="R8" i="1"/>
  <c r="E216" i="13" s="1"/>
  <c r="R9" i="1"/>
  <c r="E217" i="13" s="1"/>
  <c r="R10" i="1"/>
  <c r="R11" i="1"/>
  <c r="E219" i="13" s="1"/>
  <c r="R13" i="1"/>
  <c r="E221" i="13" s="1"/>
  <c r="R15" i="1"/>
  <c r="E223" i="13" s="1"/>
  <c r="R4" i="1"/>
  <c r="E212" i="13" s="1"/>
  <c r="N5" i="1"/>
  <c r="E157" i="13" s="1"/>
  <c r="N7" i="1"/>
  <c r="E159" i="13" s="1"/>
  <c r="N8" i="1"/>
  <c r="E160" i="13" s="1"/>
  <c r="N10" i="1"/>
  <c r="E162" i="13" s="1"/>
  <c r="N11" i="1"/>
  <c r="E163" i="13" s="1"/>
  <c r="N12" i="1"/>
  <c r="E164" i="13" s="1"/>
  <c r="N13" i="1"/>
  <c r="E165" i="13" s="1"/>
  <c r="N15" i="1"/>
  <c r="E167" i="13" s="1"/>
  <c r="N16" i="1"/>
  <c r="E168" i="13" s="1"/>
  <c r="N4" i="1"/>
  <c r="E156" i="13" s="1"/>
  <c r="L5" i="1"/>
  <c r="E129" i="13" s="1"/>
  <c r="L7" i="1"/>
  <c r="E131" i="13" s="1"/>
  <c r="L8" i="1"/>
  <c r="E132" i="13" s="1"/>
  <c r="L10" i="1"/>
  <c r="E134" i="13" s="1"/>
  <c r="L11" i="1"/>
  <c r="E135" i="13" s="1"/>
  <c r="L13" i="1"/>
  <c r="E137" i="13" s="1"/>
  <c r="L15" i="1"/>
  <c r="E139" i="13" s="1"/>
  <c r="L4" i="1"/>
  <c r="E128" i="13" s="1"/>
  <c r="J5" i="1"/>
  <c r="E101" i="13" s="1"/>
  <c r="J8" i="1"/>
  <c r="E104" i="13" s="1"/>
  <c r="J10" i="1"/>
  <c r="E106" i="13" s="1"/>
  <c r="J11" i="1"/>
  <c r="E107" i="13" s="1"/>
  <c r="J13" i="1"/>
  <c r="E109" i="13" s="1"/>
  <c r="J15" i="1"/>
  <c r="J4" i="1"/>
  <c r="E100" i="13" s="1"/>
  <c r="E7" i="1"/>
  <c r="E33" i="13" s="1"/>
  <c r="E8" i="1"/>
  <c r="E10" i="1"/>
  <c r="E36" i="13" s="1"/>
  <c r="E11" i="1"/>
  <c r="E37" i="13" s="1"/>
  <c r="E13" i="1"/>
  <c r="E39" i="13" s="1"/>
  <c r="E15" i="1"/>
  <c r="E41" i="13" s="1"/>
  <c r="A11" i="8"/>
  <c r="A6" i="11"/>
  <c r="A6" i="8"/>
  <c r="A7" i="8"/>
  <c r="A2" i="8"/>
  <c r="A2" i="11"/>
  <c r="A13" i="8"/>
  <c r="A9" i="8"/>
  <c r="A3" i="11"/>
  <c r="A14" i="8"/>
  <c r="A8" i="11"/>
  <c r="A4" i="11"/>
  <c r="A8" i="8"/>
  <c r="A4" i="8"/>
  <c r="A5" i="8"/>
  <c r="A12" i="8"/>
  <c r="A9" i="11"/>
  <c r="A5" i="11"/>
  <c r="A3" i="8"/>
  <c r="A10" i="8"/>
  <c r="A7" i="11"/>
  <c r="AB15" i="1" l="1"/>
  <c r="E363" i="13" s="1"/>
  <c r="E293" i="13"/>
  <c r="L12" i="1"/>
  <c r="E136" i="13" s="1"/>
  <c r="E122" i="13"/>
  <c r="R6" i="1"/>
  <c r="E214" i="13" s="1"/>
  <c r="E186" i="13"/>
  <c r="R12" i="1"/>
  <c r="E220" i="13" s="1"/>
  <c r="E192" i="13"/>
  <c r="Y14" i="1"/>
  <c r="E320" i="13" s="1"/>
  <c r="E306" i="13"/>
  <c r="AA6" i="2"/>
  <c r="F340" i="13" s="1"/>
  <c r="F326" i="13"/>
  <c r="L9" i="2"/>
  <c r="F133" i="13" s="1"/>
  <c r="F119" i="13"/>
  <c r="Y9" i="2"/>
  <c r="F315" i="13" s="1"/>
  <c r="F301" i="13"/>
  <c r="N12" i="2"/>
  <c r="F164" i="13" s="1"/>
  <c r="F150" i="13"/>
  <c r="Y12" i="2"/>
  <c r="F318" i="13" s="1"/>
  <c r="F304" i="13"/>
  <c r="R14" i="2"/>
  <c r="F222" i="13" s="1"/>
  <c r="F194" i="13"/>
  <c r="L16" i="2"/>
  <c r="F140" i="13" s="1"/>
  <c r="F126" i="13"/>
  <c r="C9" i="2"/>
  <c r="F5" i="13"/>
  <c r="E10" i="2"/>
  <c r="F36" i="13" s="1"/>
  <c r="F8" i="13"/>
  <c r="J4" i="2"/>
  <c r="F100" i="13" s="1"/>
  <c r="F44" i="13"/>
  <c r="J5" i="2"/>
  <c r="F101" i="13" s="1"/>
  <c r="F45" i="13"/>
  <c r="F9" i="2"/>
  <c r="F49" i="13" s="1"/>
  <c r="F47" i="13"/>
  <c r="J8" i="2"/>
  <c r="F104" i="13" s="1"/>
  <c r="F48" i="13"/>
  <c r="F12" i="2"/>
  <c r="F50" i="13"/>
  <c r="J11" i="2"/>
  <c r="F107" i="13" s="1"/>
  <c r="F51" i="13"/>
  <c r="F14" i="2"/>
  <c r="F53" i="13"/>
  <c r="F16" i="2"/>
  <c r="F55" i="13"/>
  <c r="K6" i="2"/>
  <c r="F114" i="13"/>
  <c r="R4" i="2"/>
  <c r="F212" i="13" s="1"/>
  <c r="F184" i="13"/>
  <c r="R7" i="2"/>
  <c r="F215" i="13" s="1"/>
  <c r="F187" i="13"/>
  <c r="R10" i="2"/>
  <c r="F218" i="13" s="1"/>
  <c r="F190" i="13"/>
  <c r="W7" i="2"/>
  <c r="F285" i="13" s="1"/>
  <c r="F271" i="13"/>
  <c r="Y4" i="2"/>
  <c r="F310" i="13" s="1"/>
  <c r="F296" i="13"/>
  <c r="O15" i="1"/>
  <c r="E181" i="13" s="1"/>
  <c r="E111" i="13"/>
  <c r="L14" i="1"/>
  <c r="E138" i="13" s="1"/>
  <c r="AB7" i="1"/>
  <c r="E355" i="13" s="1"/>
  <c r="E215" i="13"/>
  <c r="L16" i="1"/>
  <c r="E140" i="13" s="1"/>
  <c r="E126" i="13"/>
  <c r="Q17" i="1"/>
  <c r="E211" i="13" s="1"/>
  <c r="E210" i="13"/>
  <c r="Y16" i="1"/>
  <c r="E322" i="13" s="1"/>
  <c r="E308" i="13"/>
  <c r="L4" i="2"/>
  <c r="F128" i="13" s="1"/>
  <c r="F6" i="2"/>
  <c r="M6" i="2"/>
  <c r="T6" i="2"/>
  <c r="F242" i="13" s="1"/>
  <c r="N9" i="2"/>
  <c r="F161" i="13" s="1"/>
  <c r="F147" i="13"/>
  <c r="AA9" i="2"/>
  <c r="F343" i="13" s="1"/>
  <c r="F329" i="13"/>
  <c r="Y10" i="2"/>
  <c r="F316" i="13" s="1"/>
  <c r="Z12" i="2"/>
  <c r="R13" i="2"/>
  <c r="F221" i="13" s="1"/>
  <c r="C14" i="2"/>
  <c r="F12" i="13" s="1"/>
  <c r="L14" i="2"/>
  <c r="F138" i="13" s="1"/>
  <c r="F124" i="13"/>
  <c r="Y14" i="2"/>
  <c r="F320" i="13" s="1"/>
  <c r="F306" i="13"/>
  <c r="J15" i="2"/>
  <c r="F111" i="13" s="1"/>
  <c r="D14" i="2"/>
  <c r="F26" i="13" s="1"/>
  <c r="F25" i="13"/>
  <c r="Q12" i="2"/>
  <c r="F206" i="13" s="1"/>
  <c r="F204" i="13"/>
  <c r="W15" i="2"/>
  <c r="F293" i="13" s="1"/>
  <c r="F251" i="13"/>
  <c r="O8" i="1"/>
  <c r="E174" i="13" s="1"/>
  <c r="E34" i="13"/>
  <c r="AB10" i="1"/>
  <c r="E358" i="13" s="1"/>
  <c r="E218" i="13"/>
  <c r="Y12" i="1"/>
  <c r="E318" i="13" s="1"/>
  <c r="N9" i="1"/>
  <c r="E161" i="13" s="1"/>
  <c r="E147" i="13"/>
  <c r="Y6" i="1"/>
  <c r="E312" i="13" s="1"/>
  <c r="E298" i="13"/>
  <c r="E16" i="1"/>
  <c r="E42" i="13" s="1"/>
  <c r="E14" i="13"/>
  <c r="J16" i="1"/>
  <c r="E112" i="13" s="1"/>
  <c r="E84" i="13"/>
  <c r="N14" i="1"/>
  <c r="E166" i="13" s="1"/>
  <c r="E152" i="13"/>
  <c r="R14" i="1"/>
  <c r="E222" i="13" s="1"/>
  <c r="E194" i="13"/>
  <c r="N4" i="2"/>
  <c r="F156" i="13" s="1"/>
  <c r="N5" i="2"/>
  <c r="F157" i="13" s="1"/>
  <c r="AA5" i="2"/>
  <c r="F339" i="13" s="1"/>
  <c r="G6" i="2"/>
  <c r="F60" i="13" s="1"/>
  <c r="P6" i="2"/>
  <c r="U6" i="2"/>
  <c r="F256" i="13" s="1"/>
  <c r="P9" i="2"/>
  <c r="F189" i="13" s="1"/>
  <c r="L10" i="2"/>
  <c r="F134" i="13" s="1"/>
  <c r="AA10" i="2"/>
  <c r="F344" i="13" s="1"/>
  <c r="C12" i="2"/>
  <c r="U12" i="2"/>
  <c r="F262" i="13" s="1"/>
  <c r="E13" i="2"/>
  <c r="F39" i="13" s="1"/>
  <c r="W13" i="2"/>
  <c r="F291" i="13" s="1"/>
  <c r="G14" i="2"/>
  <c r="F68" i="13" s="1"/>
  <c r="N16" i="2"/>
  <c r="F168" i="13" s="1"/>
  <c r="T16" i="2"/>
  <c r="F252" i="13" s="1"/>
  <c r="AA16" i="2"/>
  <c r="F350" i="13" s="1"/>
  <c r="F336" i="13"/>
  <c r="V6" i="2"/>
  <c r="F270" i="13" s="1"/>
  <c r="F268" i="13"/>
  <c r="T14" i="2"/>
  <c r="F250" i="13" s="1"/>
  <c r="F249" i="13"/>
  <c r="G17" i="1"/>
  <c r="E71" i="13" s="1"/>
  <c r="E60" i="13"/>
  <c r="L9" i="1"/>
  <c r="E133" i="13" s="1"/>
  <c r="E119" i="13"/>
  <c r="Y9" i="1"/>
  <c r="E315" i="13" s="1"/>
  <c r="E301" i="13"/>
  <c r="AA12" i="1"/>
  <c r="E346" i="13" s="1"/>
  <c r="E332" i="13"/>
  <c r="AA16" i="1"/>
  <c r="E350" i="13" s="1"/>
  <c r="E336" i="13"/>
  <c r="AA4" i="2"/>
  <c r="F338" i="13" s="1"/>
  <c r="C6" i="2"/>
  <c r="F4" i="13" s="1"/>
  <c r="Q6" i="2"/>
  <c r="F200" i="13" s="1"/>
  <c r="X6" i="2"/>
  <c r="AB8" i="2"/>
  <c r="F356" i="13" s="1"/>
  <c r="F342" i="13"/>
  <c r="Q9" i="2"/>
  <c r="F203" i="13" s="1"/>
  <c r="V9" i="2"/>
  <c r="F273" i="13" s="1"/>
  <c r="N10" i="2"/>
  <c r="F162" i="13" s="1"/>
  <c r="W11" i="2"/>
  <c r="F289" i="13" s="1"/>
  <c r="D12" i="2"/>
  <c r="F24" i="13" s="1"/>
  <c r="K12" i="2"/>
  <c r="V12" i="2"/>
  <c r="F276" i="13" s="1"/>
  <c r="N14" i="2"/>
  <c r="F166" i="13" s="1"/>
  <c r="T12" i="2"/>
  <c r="F248" i="13" s="1"/>
  <c r="F247" i="13"/>
  <c r="X17" i="2"/>
  <c r="U17" i="2"/>
  <c r="F267" i="13" s="1"/>
  <c r="AB11" i="2"/>
  <c r="F359" i="13" s="1"/>
  <c r="W9" i="2"/>
  <c r="F287" i="13" s="1"/>
  <c r="V17" i="2"/>
  <c r="F281" i="13" s="1"/>
  <c r="W6" i="2"/>
  <c r="W4" i="2"/>
  <c r="F282" i="13" s="1"/>
  <c r="AB15" i="2"/>
  <c r="F363" i="13" s="1"/>
  <c r="P12" i="2"/>
  <c r="P17" i="2" s="1"/>
  <c r="F197" i="13" s="1"/>
  <c r="R9" i="2"/>
  <c r="F217" i="13" s="1"/>
  <c r="AB7" i="2"/>
  <c r="F355" i="13" s="1"/>
  <c r="AB5" i="2"/>
  <c r="F353" i="13" s="1"/>
  <c r="J13" i="2"/>
  <c r="F109" i="13" s="1"/>
  <c r="J10" i="2"/>
  <c r="O8" i="2"/>
  <c r="F174" i="13" s="1"/>
  <c r="J7" i="2"/>
  <c r="F103" i="13" s="1"/>
  <c r="O4" i="2"/>
  <c r="F170" i="13" s="1"/>
  <c r="I17" i="2"/>
  <c r="F99" i="13" s="1"/>
  <c r="G17" i="2"/>
  <c r="F71" i="13" s="1"/>
  <c r="O5" i="2"/>
  <c r="F171" i="13" s="1"/>
  <c r="F17" i="2"/>
  <c r="F57" i="13" s="1"/>
  <c r="H17" i="2"/>
  <c r="F85" i="13" s="1"/>
  <c r="E14" i="2"/>
  <c r="F40" i="13" s="1"/>
  <c r="O13" i="2"/>
  <c r="F179" i="13" s="1"/>
  <c r="O11" i="2"/>
  <c r="F177" i="13" s="1"/>
  <c r="E7" i="2"/>
  <c r="C17" i="2"/>
  <c r="F15" i="13" s="1"/>
  <c r="D17" i="2"/>
  <c r="F29" i="13" s="1"/>
  <c r="E6" i="2"/>
  <c r="F32" i="13" s="1"/>
  <c r="Z17" i="1"/>
  <c r="AA6" i="1"/>
  <c r="E340" i="13" s="1"/>
  <c r="AB13" i="1"/>
  <c r="E361" i="13" s="1"/>
  <c r="X17" i="1"/>
  <c r="V17" i="1"/>
  <c r="E281" i="13" s="1"/>
  <c r="AB8" i="1"/>
  <c r="E356" i="13" s="1"/>
  <c r="AB5" i="1"/>
  <c r="E353" i="13" s="1"/>
  <c r="U17" i="1"/>
  <c r="E267" i="13" s="1"/>
  <c r="W16" i="1"/>
  <c r="E294" i="13" s="1"/>
  <c r="W14" i="1"/>
  <c r="E292" i="13" s="1"/>
  <c r="T17" i="1"/>
  <c r="E253" i="13" s="1"/>
  <c r="W12" i="1"/>
  <c r="W9" i="1"/>
  <c r="E287" i="13" s="1"/>
  <c r="W6" i="1"/>
  <c r="AB11" i="1"/>
  <c r="E359" i="13" s="1"/>
  <c r="S17" i="1"/>
  <c r="E239" i="13" s="1"/>
  <c r="AB4" i="1"/>
  <c r="E352" i="13" s="1"/>
  <c r="R16" i="1"/>
  <c r="E224" i="13" s="1"/>
  <c r="P17" i="1"/>
  <c r="M17" i="1"/>
  <c r="O11" i="1"/>
  <c r="E177" i="13" s="1"/>
  <c r="K17" i="1"/>
  <c r="O7" i="1"/>
  <c r="E173" i="13" s="1"/>
  <c r="H17" i="1"/>
  <c r="E85" i="13" s="1"/>
  <c r="I17" i="1"/>
  <c r="E99" i="13" s="1"/>
  <c r="J14" i="1"/>
  <c r="E110" i="13" s="1"/>
  <c r="F17" i="1"/>
  <c r="O10" i="1"/>
  <c r="E176" i="13" s="1"/>
  <c r="J12" i="1"/>
  <c r="E108" i="13" s="1"/>
  <c r="J9" i="1"/>
  <c r="E14" i="1"/>
  <c r="E40" i="13" s="1"/>
  <c r="O13" i="1"/>
  <c r="E179" i="13" s="1"/>
  <c r="E12" i="1"/>
  <c r="E38" i="13" s="1"/>
  <c r="E9" i="1"/>
  <c r="E35" i="13" s="1"/>
  <c r="D6" i="1"/>
  <c r="E4" i="1"/>
  <c r="E30" i="13" s="1"/>
  <c r="E5" i="1"/>
  <c r="E31" i="13" s="1"/>
  <c r="O5" i="1"/>
  <c r="E171" i="13" s="1"/>
  <c r="C6" i="1"/>
  <c r="E4" i="13" s="1"/>
  <c r="N6" i="1"/>
  <c r="E158" i="13" s="1"/>
  <c r="L6" i="1"/>
  <c r="E130" i="13" s="1"/>
  <c r="O4" i="1"/>
  <c r="E170" i="13" s="1"/>
  <c r="J6" i="1"/>
  <c r="E102" i="13" s="1"/>
  <c r="AB9" i="2"/>
  <c r="F357" i="13" s="1"/>
  <c r="Q17" i="2"/>
  <c r="F211" i="13" s="1"/>
  <c r="J9" i="2"/>
  <c r="Z17" i="2"/>
  <c r="E16" i="2"/>
  <c r="Y16" i="2"/>
  <c r="K17" i="2"/>
  <c r="S17" i="2"/>
  <c r="F239" i="13" s="1"/>
  <c r="M17" i="2"/>
  <c r="R16" i="2"/>
  <c r="F224" i="13" s="1"/>
  <c r="AB16" i="1"/>
  <c r="E364" i="13" s="1"/>
  <c r="AB14" i="1"/>
  <c r="E362" i="13" s="1"/>
  <c r="AB9" i="1"/>
  <c r="E357" i="13" s="1"/>
  <c r="F322" i="13" l="1"/>
  <c r="AB6" i="1"/>
  <c r="E354" i="13" s="1"/>
  <c r="E284" i="13"/>
  <c r="AB13" i="2"/>
  <c r="F361" i="13" s="1"/>
  <c r="L12" i="2"/>
  <c r="F122" i="13"/>
  <c r="Y6" i="2"/>
  <c r="F312" i="13" s="1"/>
  <c r="F298" i="13"/>
  <c r="J16" i="2"/>
  <c r="F112" i="13" s="1"/>
  <c r="F56" i="13"/>
  <c r="L17" i="2"/>
  <c r="F141" i="13" s="1"/>
  <c r="F127" i="13"/>
  <c r="R17" i="1"/>
  <c r="E225" i="13" s="1"/>
  <c r="E197" i="13"/>
  <c r="R6" i="2"/>
  <c r="F214" i="13" s="1"/>
  <c r="F186" i="13"/>
  <c r="O14" i="1"/>
  <c r="E180" i="13" s="1"/>
  <c r="N17" i="2"/>
  <c r="F169" i="13" s="1"/>
  <c r="F155" i="13"/>
  <c r="F42" i="13"/>
  <c r="O16" i="1"/>
  <c r="E182" i="13" s="1"/>
  <c r="AA17" i="1"/>
  <c r="E351" i="13" s="1"/>
  <c r="E337" i="13"/>
  <c r="O7" i="2"/>
  <c r="F173" i="13" s="1"/>
  <c r="F33" i="13"/>
  <c r="O15" i="2"/>
  <c r="F181" i="13" s="1"/>
  <c r="AB10" i="2"/>
  <c r="F358" i="13" s="1"/>
  <c r="F284" i="13"/>
  <c r="W12" i="2"/>
  <c r="W14" i="2"/>
  <c r="N6" i="2"/>
  <c r="F144" i="13"/>
  <c r="F105" i="13"/>
  <c r="O9" i="1"/>
  <c r="E175" i="13" s="1"/>
  <c r="E105" i="13"/>
  <c r="L17" i="1"/>
  <c r="E141" i="13" s="1"/>
  <c r="E127" i="13"/>
  <c r="Y17" i="2"/>
  <c r="F323" i="13" s="1"/>
  <c r="F309" i="13"/>
  <c r="AA17" i="2"/>
  <c r="F351" i="13" s="1"/>
  <c r="F337" i="13"/>
  <c r="D17" i="1"/>
  <c r="E29" i="13" s="1"/>
  <c r="E18" i="13"/>
  <c r="J17" i="1"/>
  <c r="E113" i="13" s="1"/>
  <c r="E57" i="13"/>
  <c r="N17" i="1"/>
  <c r="E169" i="13" s="1"/>
  <c r="E155" i="13"/>
  <c r="AB12" i="1"/>
  <c r="E360" i="13" s="1"/>
  <c r="E290" i="13"/>
  <c r="Y17" i="1"/>
  <c r="E323" i="13" s="1"/>
  <c r="E309" i="13"/>
  <c r="O10" i="2"/>
  <c r="F176" i="13" s="1"/>
  <c r="F106" i="13"/>
  <c r="AB4" i="2"/>
  <c r="F352" i="13" s="1"/>
  <c r="R12" i="2"/>
  <c r="F220" i="13" s="1"/>
  <c r="F192" i="13"/>
  <c r="T17" i="2"/>
  <c r="F253" i="13" s="1"/>
  <c r="W16" i="2"/>
  <c r="F294" i="13" s="1"/>
  <c r="E12" i="2"/>
  <c r="F38" i="13" s="1"/>
  <c r="F10" i="13"/>
  <c r="AA12" i="2"/>
  <c r="F346" i="13" s="1"/>
  <c r="F332" i="13"/>
  <c r="J6" i="2"/>
  <c r="F102" i="13" s="1"/>
  <c r="F46" i="13"/>
  <c r="L6" i="2"/>
  <c r="F130" i="13" s="1"/>
  <c r="F116" i="13"/>
  <c r="J14" i="2"/>
  <c r="F110" i="13" s="1"/>
  <c r="F54" i="13"/>
  <c r="J12" i="2"/>
  <c r="F108" i="13" s="1"/>
  <c r="F52" i="13"/>
  <c r="E9" i="2"/>
  <c r="F35" i="13" s="1"/>
  <c r="F7" i="13"/>
  <c r="W17" i="2"/>
  <c r="F295" i="13" s="1"/>
  <c r="R17" i="2"/>
  <c r="F225" i="13" s="1"/>
  <c r="AB17" i="2"/>
  <c r="F365" i="13" s="1"/>
  <c r="J17" i="2"/>
  <c r="F113" i="13" s="1"/>
  <c r="E17" i="2"/>
  <c r="F43" i="13" s="1"/>
  <c r="W17" i="1"/>
  <c r="O12" i="1"/>
  <c r="E178" i="13" s="1"/>
  <c r="C17" i="1"/>
  <c r="E6" i="1"/>
  <c r="F158" i="13" l="1"/>
  <c r="O6" i="2"/>
  <c r="F172" i="13" s="1"/>
  <c r="AB6" i="2"/>
  <c r="F354" i="13" s="1"/>
  <c r="O14" i="2"/>
  <c r="F180" i="13" s="1"/>
  <c r="O17" i="2"/>
  <c r="F183" i="13" s="1"/>
  <c r="F292" i="13"/>
  <c r="AB14" i="2"/>
  <c r="F362" i="13" s="1"/>
  <c r="F136" i="13"/>
  <c r="O12" i="2"/>
  <c r="F178" i="13" s="1"/>
  <c r="AB17" i="1"/>
  <c r="E365" i="13" s="1"/>
  <c r="E295" i="13"/>
  <c r="O6" i="1"/>
  <c r="E172" i="13" s="1"/>
  <c r="E32" i="13"/>
  <c r="E17" i="1"/>
  <c r="E15" i="13"/>
  <c r="O9" i="2"/>
  <c r="F175" i="13" s="1"/>
  <c r="AB12" i="2"/>
  <c r="F360" i="13" s="1"/>
  <c r="F290" i="13"/>
  <c r="O16" i="2"/>
  <c r="F182" i="13" s="1"/>
  <c r="AB16" i="2"/>
  <c r="F364" i="13" s="1"/>
  <c r="O17" i="1" l="1"/>
  <c r="E183" i="13" s="1"/>
  <c r="E43" i="13"/>
</calcChain>
</file>

<file path=xl/sharedStrings.xml><?xml version="1.0" encoding="utf-8"?>
<sst xmlns="http://schemas.openxmlformats.org/spreadsheetml/2006/main" count="1682" uniqueCount="105">
  <si>
    <t>TIME_YEAR_2017</t>
  </si>
  <si>
    <t>PRODUCT_AMERICAN</t>
  </si>
  <si>
    <t>PRODUCT_BUFFALO</t>
  </si>
  <si>
    <t>PRODUCT_CHEDDAR</t>
  </si>
  <si>
    <t>PRODUCT_COSTEÑO</t>
  </si>
  <si>
    <t>PRODUCT_COTTAGE</t>
  </si>
  <si>
    <t>PRODUCT_FRESH_CHEESE</t>
  </si>
  <si>
    <t>PRODUCT_MEDIUM_HARD_CHEESE</t>
  </si>
  <si>
    <t>PRODUCT_MOZZARELLA</t>
  </si>
  <si>
    <t>PRODUCT_PROCESSED_CHEESE</t>
  </si>
  <si>
    <t>PRODUCT_SEMI_HARD_CHEESE</t>
  </si>
  <si>
    <t>PRODUCT_SWISS</t>
  </si>
  <si>
    <t>STORE_QUESERIA_COLOMBIANA</t>
  </si>
  <si>
    <t>CITY_BOGOTA</t>
  </si>
  <si>
    <t>STORE_UNCLE_BOBS_CHEESE_FACTORY</t>
  </si>
  <si>
    <t>STORE_QUESERIA_COSTEÑA</t>
  </si>
  <si>
    <t>STORE_AMERICAN_SPECIAL_CHEESES</t>
  </si>
  <si>
    <t>CITY_DALLAS</t>
  </si>
  <si>
    <t>STORE_CAPITAL_CHEESE_STORE</t>
  </si>
  <si>
    <t>CITY_LYON</t>
  </si>
  <si>
    <t>STORE_LYON_CHEESE_STORE</t>
  </si>
  <si>
    <t>CITY_NEW_YORK</t>
  </si>
  <si>
    <t>STORE_CHEESE_FOR_ALL</t>
  </si>
  <si>
    <t>CITY_PARIS</t>
  </si>
  <si>
    <t>STORE_DELUXE_CHEESE_STORE</t>
  </si>
  <si>
    <t>PARIS SUBTOTAL</t>
  </si>
  <si>
    <t>NEW YORK SUBTOTAL</t>
  </si>
  <si>
    <t>BOGOTA SUBTOTAL</t>
  </si>
  <si>
    <t>DALLAS SUBTOTAL</t>
  </si>
  <si>
    <t>LYON SUBTOTAL</t>
  </si>
  <si>
    <t>PROCESSED CHEESE SUBTOTAL</t>
  </si>
  <si>
    <t>FRESH CHEESE SUBTOTAL</t>
  </si>
  <si>
    <t>MEDIUM HARD CHEESE SUBTOTAL</t>
  </si>
  <si>
    <t>SEMI HARD CHEESE SUBTOTAL</t>
  </si>
  <si>
    <t>ALL CITIES TOTAL</t>
  </si>
  <si>
    <t>ALL PRODUCTS TOTAL</t>
  </si>
  <si>
    <t>TIME_YEAR_2018</t>
  </si>
  <si>
    <t>PARIS</t>
  </si>
  <si>
    <t>NEW YORK</t>
  </si>
  <si>
    <t>BOGOTA</t>
  </si>
  <si>
    <t>DALLAS</t>
  </si>
  <si>
    <t>LYON</t>
  </si>
  <si>
    <t>CAPITAL CHEESE STORE</t>
  </si>
  <si>
    <t>DELUXE CHEESE STORE</t>
  </si>
  <si>
    <t>AMERICAN SPECIAL CHEESES</t>
  </si>
  <si>
    <t>CHEESE FOR ALL</t>
  </si>
  <si>
    <t>QUESERIA COLOMBIANA</t>
  </si>
  <si>
    <t>QUESERIA COSTEÑA</t>
  </si>
  <si>
    <t>UNCLE BOB'S CHEESE FACTORY</t>
  </si>
  <si>
    <t>LYON CHEESE STORE</t>
  </si>
  <si>
    <t>PROCESSED CHEESE</t>
  </si>
  <si>
    <t>AMERICAN</t>
  </si>
  <si>
    <t>PROVOLOGNE</t>
  </si>
  <si>
    <t>COSTEÑO</t>
  </si>
  <si>
    <t>COTTAGE</t>
  </si>
  <si>
    <t>BUFFALO</t>
  </si>
  <si>
    <t>MOZZARELLA</t>
  </si>
  <si>
    <t>CHEDDAR</t>
  </si>
  <si>
    <t>MEDIUM HARD CHEESE</t>
  </si>
  <si>
    <t>SEMI HARD CHEESE</t>
  </si>
  <si>
    <t>SWISS</t>
  </si>
  <si>
    <t>FRESH CHEESE</t>
  </si>
  <si>
    <t>Id</t>
  </si>
  <si>
    <t>Period</t>
  </si>
  <si>
    <t>Date</t>
  </si>
  <si>
    <t>PERIOD_YEAR</t>
  </si>
  <si>
    <t>Name</t>
  </si>
  <si>
    <t>ParentId</t>
  </si>
  <si>
    <t>All</t>
  </si>
  <si>
    <t>PRODUCT_ALL</t>
  </si>
  <si>
    <t>New York</t>
  </si>
  <si>
    <t>Processed Cheese</t>
  </si>
  <si>
    <t>American</t>
  </si>
  <si>
    <t>Semi Hard Cheese</t>
  </si>
  <si>
    <t>Cheddar</t>
  </si>
  <si>
    <t>Medium Hard Cheese</t>
  </si>
  <si>
    <t>Swiss</t>
  </si>
  <si>
    <t>Fresh Cheese</t>
  </si>
  <si>
    <t>Mozzarella</t>
  </si>
  <si>
    <t>Cottage</t>
  </si>
  <si>
    <t>Costeño</t>
  </si>
  <si>
    <t>Buffalo</t>
  </si>
  <si>
    <t>Lyon</t>
  </si>
  <si>
    <t>Dallas</t>
  </si>
  <si>
    <t>Paris</t>
  </si>
  <si>
    <t>Bogota</t>
  </si>
  <si>
    <t>yClass:city</t>
  </si>
  <si>
    <t>Cheese For All</t>
  </si>
  <si>
    <t>Quesería Colombiana</t>
  </si>
  <si>
    <t>Capital Cheese Store</t>
  </si>
  <si>
    <t>Uncle Bob's Cheese Factory</t>
  </si>
  <si>
    <t>Lyon Cheese Store</t>
  </si>
  <si>
    <t>Quesería Costeña</t>
  </si>
  <si>
    <t>American Special Cheeses</t>
  </si>
  <si>
    <t>Deluxe Cheese Store</t>
  </si>
  <si>
    <t>Year</t>
  </si>
  <si>
    <t>City</t>
  </si>
  <si>
    <t>Store</t>
  </si>
  <si>
    <t>Product</t>
  </si>
  <si>
    <t>MEASURE_SOLD_UNITS</t>
  </si>
  <si>
    <t>MEASURE_SALE_VALUE</t>
  </si>
  <si>
    <t>CITY_ALL</t>
  </si>
  <si>
    <t>STORE_ALL</t>
  </si>
  <si>
    <t>PRODUCT_PROVOLOGNE</t>
  </si>
  <si>
    <t>Provologne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</si>
</sst>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0" fillId="0" borderId="0" xfId="0" applyBorder="1"/>
    <xf numFmtId="0" fontId="0" fillId="3" borderId="1" xfId="0" applyFill="1" applyBorder="1"/>
    <xf numFmtId="0" fontId="0" fillId="5" borderId="1" xfId="0" applyFont="1" applyFill="1" applyBorder="1"/>
    <xf numFmtId="0" fontId="0" fillId="5" borderId="1" xfId="0" applyNumberFormat="1" applyFont="1" applyFill="1" applyBorder="1"/>
    <xf numFmtId="0" fontId="0" fillId="4" borderId="1" xfId="0" applyFont="1" applyFill="1" applyBorder="1" applyAlignment="1">
      <alignment horizontal="left" indent="1"/>
    </xf>
    <xf numFmtId="0" fontId="1" fillId="0" borderId="1" xfId="0" applyFont="1" applyBorder="1"/>
    <xf numFmtId="0" fontId="0" fillId="2" borderId="1" xfId="0" applyFill="1" applyBorder="1"/>
    <xf numFmtId="0" fontId="3" fillId="7" borderId="0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/>
    <xf numFmtId="14" fontId="0" fillId="0" borderId="0" xfId="0" applyNumberFormat="1"/>
    <xf numFmtId="2" fontId="0" fillId="0" borderId="0" xfId="1" applyNumberFormat="1" applyFont="1"/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10"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meTable" displayName="TimeTable" ref="A1:C3" totalsRowShown="0" headerRowDxfId="9" tableBorderDxfId="8">
  <autoFilter ref="A1:C3" xr:uid="{00000000-0009-0000-0100-000001000000}"/>
  <tableColumns count="3">
    <tableColumn id="1" xr3:uid="{00000000-0010-0000-0000-000001000000}" name="Id" dataDxfId="7"/>
    <tableColumn id="2" xr3:uid="{00000000-0010-0000-0000-000002000000}" name="Period" dataDxfId="6"/>
    <tableColumn id="3" xr3:uid="{00000000-0010-0000-0000-000003000000}" name="Date" dataDxf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ductsTable" displayName="ProductsTable" ref="A1:C14" totalsRowShown="0">
  <autoFilter ref="A1:C14" xr:uid="{00000000-0009-0000-0100-000004000000}"/>
  <tableColumns count="3">
    <tableColumn id="1" xr3:uid="{00000000-0010-0000-0100-000001000000}" name="Id" dataDxfId="4">
      <calculatedColumnFormula>toYID(CONCATENATE("product_",ProductsTable[[#This Row],[Name]]))</calculatedColumnFormula>
    </tableColumn>
    <tableColumn id="2" xr3:uid="{00000000-0010-0000-0100-000002000000}" name="Name"/>
    <tableColumn id="3" xr3:uid="{00000000-0010-0000-0100-000003000000}" name="ParentI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CitiesTable" displayName="CitiesTable" ref="A1:B6" totalsRowShown="0">
  <autoFilter ref="A1:B6" xr:uid="{00000000-0009-0000-0100-000009000000}"/>
  <tableColumns count="2">
    <tableColumn id="1" xr3:uid="{00000000-0010-0000-0200-000001000000}" name="Id" dataDxfId="3">
      <calculatedColumnFormula>toYID(_xlfn.CONCAT("CITY_",CitiesTable[[#This Row],[Name]]))</calculatedColumnFormula>
    </tableColumn>
    <tableColumn id="2" xr3:uid="{00000000-0010-0000-0200-000002000000}" name="Nam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StoresTable" displayName="StoresTable" ref="A1:C9" totalsRowShown="0">
  <autoFilter ref="A1:C9" xr:uid="{00000000-0009-0000-0100-000006000000}"/>
  <tableColumns count="3">
    <tableColumn id="1" xr3:uid="{00000000-0010-0000-0300-000001000000}" name="Id" dataDxfId="2">
      <calculatedColumnFormula>toYID(_xlfn.CONCAT("store_",StoresTable[[#This Row],[Name]]))</calculatedColumnFormula>
    </tableColumn>
    <tableColumn id="2" xr3:uid="{00000000-0010-0000-0300-000002000000}" name="Name"/>
    <tableColumn id="3" xr3:uid="{00000000-0010-0000-0300-000003000000}" name="yClass:city" dataDxfId="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SalesFactsTable" displayName="SalesFactsTable" ref="A1:F365" totalsRowShown="0">
  <autoFilter ref="A1:F365" xr:uid="{00000000-0009-0000-0100-000008000000}"/>
  <tableColumns count="6">
    <tableColumn id="1" xr3:uid="{00000000-0010-0000-0400-000001000000}" name="Year"/>
    <tableColumn id="2" xr3:uid="{00000000-0010-0000-0400-000002000000}" name="City"/>
    <tableColumn id="3" xr3:uid="{00000000-0010-0000-0400-000003000000}" name="Store"/>
    <tableColumn id="4" xr3:uid="{00000000-0010-0000-0400-000004000000}" name="Product"/>
    <tableColumn id="5" xr3:uid="{00000000-0010-0000-0400-000005000000}" name="MEASURE_SOLD_UNITS">
      <calculatedColumnFormula>'Sold units'!C4</calculatedColumnFormula>
    </tableColumn>
    <tableColumn id="6" xr3:uid="{00000000-0010-0000-0400-000006000000}" name="MEASURE_SALE_VALUE" dataDxfId="0" dataCellStyle="Currenc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B17"/>
  <sheetViews>
    <sheetView zoomScale="75" zoomScaleNormal="75" workbookViewId="0">
      <selection activeCell="K4" sqref="K4"/>
    </sheetView>
  </sheetViews>
  <sheetFormatPr defaultRowHeight="14.4" x14ac:dyDescent="0.3"/>
  <cols>
    <col min="1" max="1" width="10.33203125" bestFit="1" customWidth="1"/>
    <col min="2" max="2" width="29" bestFit="1" customWidth="1"/>
    <col min="3" max="3" width="10.33203125" bestFit="1" customWidth="1"/>
    <col min="4" max="4" width="13" bestFit="1" customWidth="1"/>
    <col min="5" max="5" width="27.5546875" bestFit="1" customWidth="1"/>
    <col min="6" max="7" width="9" bestFit="1" customWidth="1"/>
    <col min="8" max="8" width="8.6640625" bestFit="1" customWidth="1"/>
    <col min="9" max="9" width="12.5546875" bestFit="1" customWidth="1"/>
    <col min="10" max="10" width="22.88671875" bestFit="1" customWidth="1"/>
    <col min="11" max="11" width="9.44140625" customWidth="1"/>
    <col min="12" max="12" width="31.33203125" customWidth="1"/>
    <col min="13" max="13" width="6" customWidth="1"/>
    <col min="14" max="14" width="27.5546875" customWidth="1"/>
    <col min="15" max="15" width="19.6640625" bestFit="1" customWidth="1"/>
    <col min="16" max="16" width="10.33203125" bestFit="1" customWidth="1"/>
    <col min="17" max="17" width="13" bestFit="1" customWidth="1"/>
    <col min="18" max="18" width="27.5546875" bestFit="1" customWidth="1"/>
    <col min="19" max="20" width="9" bestFit="1" customWidth="1"/>
    <col min="21" max="21" width="8.6640625" bestFit="1" customWidth="1"/>
    <col min="22" max="22" width="12.5546875" bestFit="1" customWidth="1"/>
    <col min="23" max="23" width="22.88671875" bestFit="1" customWidth="1"/>
    <col min="24" max="24" width="9.44140625" bestFit="1" customWidth="1"/>
    <col min="25" max="25" width="31.33203125" bestFit="1" customWidth="1"/>
    <col min="26" max="26" width="6" bestFit="1" customWidth="1"/>
    <col min="27" max="27" width="27.5546875" bestFit="1" customWidth="1"/>
    <col min="28" max="28" width="19.6640625" bestFit="1" customWidth="1"/>
  </cols>
  <sheetData>
    <row r="1" spans="1:28" x14ac:dyDescent="0.3">
      <c r="A1" s="2"/>
      <c r="B1" s="2"/>
      <c r="C1" s="18">
        <v>2017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>
        <v>2018</v>
      </c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x14ac:dyDescent="0.3">
      <c r="A2" s="2"/>
      <c r="B2" s="2"/>
      <c r="C2" s="15" t="s">
        <v>50</v>
      </c>
      <c r="D2" s="15"/>
      <c r="E2" s="15"/>
      <c r="F2" s="15" t="s">
        <v>61</v>
      </c>
      <c r="G2" s="15"/>
      <c r="H2" s="15"/>
      <c r="I2" s="15"/>
      <c r="J2" s="15"/>
      <c r="K2" s="15" t="s">
        <v>58</v>
      </c>
      <c r="L2" s="15"/>
      <c r="M2" s="15" t="s">
        <v>59</v>
      </c>
      <c r="N2" s="15"/>
      <c r="O2" s="15" t="s">
        <v>35</v>
      </c>
      <c r="P2" s="15" t="s">
        <v>50</v>
      </c>
      <c r="Q2" s="15"/>
      <c r="R2" s="15"/>
      <c r="S2" s="15" t="s">
        <v>61</v>
      </c>
      <c r="T2" s="15"/>
      <c r="U2" s="15"/>
      <c r="V2" s="15"/>
      <c r="W2" s="15"/>
      <c r="X2" s="15" t="s">
        <v>58</v>
      </c>
      <c r="Y2" s="15"/>
      <c r="Z2" s="15" t="s">
        <v>59</v>
      </c>
      <c r="AA2" s="15"/>
      <c r="AB2" s="15" t="s">
        <v>35</v>
      </c>
    </row>
    <row r="3" spans="1:28" x14ac:dyDescent="0.3">
      <c r="A3" s="2"/>
      <c r="B3" s="2"/>
      <c r="C3" s="8" t="s">
        <v>51</v>
      </c>
      <c r="D3" s="8" t="s">
        <v>52</v>
      </c>
      <c r="E3" s="3" t="s">
        <v>30</v>
      </c>
      <c r="F3" s="8" t="s">
        <v>53</v>
      </c>
      <c r="G3" s="8" t="s">
        <v>54</v>
      </c>
      <c r="H3" s="8" t="s">
        <v>55</v>
      </c>
      <c r="I3" s="8" t="s">
        <v>56</v>
      </c>
      <c r="J3" s="3" t="s">
        <v>31</v>
      </c>
      <c r="K3" s="8" t="s">
        <v>57</v>
      </c>
      <c r="L3" s="3" t="s">
        <v>32</v>
      </c>
      <c r="M3" s="8" t="s">
        <v>60</v>
      </c>
      <c r="N3" s="3" t="s">
        <v>33</v>
      </c>
      <c r="O3" s="15"/>
      <c r="P3" s="8" t="s">
        <v>51</v>
      </c>
      <c r="Q3" s="8" t="s">
        <v>52</v>
      </c>
      <c r="R3" s="3" t="s">
        <v>30</v>
      </c>
      <c r="S3" s="8" t="s">
        <v>53</v>
      </c>
      <c r="T3" s="8" t="s">
        <v>54</v>
      </c>
      <c r="U3" s="8" t="s">
        <v>55</v>
      </c>
      <c r="V3" s="8" t="s">
        <v>56</v>
      </c>
      <c r="W3" s="3" t="s">
        <v>31</v>
      </c>
      <c r="X3" s="8" t="s">
        <v>57</v>
      </c>
      <c r="Y3" s="3" t="s">
        <v>32</v>
      </c>
      <c r="Z3" s="8" t="s">
        <v>60</v>
      </c>
      <c r="AA3" s="3" t="s">
        <v>33</v>
      </c>
      <c r="AB3" s="15"/>
    </row>
    <row r="4" spans="1:28" x14ac:dyDescent="0.3">
      <c r="A4" s="19" t="s">
        <v>37</v>
      </c>
      <c r="B4" s="6" t="s">
        <v>42</v>
      </c>
      <c r="C4" s="1">
        <v>486</v>
      </c>
      <c r="D4" s="1">
        <v>911</v>
      </c>
      <c r="E4" s="7">
        <f>SUM(C4:D4)</f>
        <v>1397</v>
      </c>
      <c r="F4" s="1">
        <v>215</v>
      </c>
      <c r="G4" s="1">
        <v>214</v>
      </c>
      <c r="H4" s="1">
        <v>985</v>
      </c>
      <c r="I4" s="1">
        <v>154</v>
      </c>
      <c r="J4" s="7">
        <f>SUM(F4:I4)</f>
        <v>1568</v>
      </c>
      <c r="K4" s="1">
        <v>854</v>
      </c>
      <c r="L4" s="7">
        <f>SUM(K4)</f>
        <v>854</v>
      </c>
      <c r="M4" s="1">
        <v>290</v>
      </c>
      <c r="N4" s="7">
        <f>SUM(M4)</f>
        <v>290</v>
      </c>
      <c r="O4" s="7">
        <f>SUM(N4,L4,J4,E4)</f>
        <v>4109</v>
      </c>
      <c r="P4" s="1">
        <v>847</v>
      </c>
      <c r="Q4" s="1">
        <v>452</v>
      </c>
      <c r="R4" s="7">
        <f>SUM(P4:Q4)</f>
        <v>1299</v>
      </c>
      <c r="S4" s="1">
        <v>654</v>
      </c>
      <c r="T4" s="1">
        <v>150</v>
      </c>
      <c r="U4" s="1">
        <v>150</v>
      </c>
      <c r="V4" s="1">
        <v>257</v>
      </c>
      <c r="W4" s="7">
        <f>SUM(S4:V4)</f>
        <v>1211</v>
      </c>
      <c r="X4" s="1">
        <v>735</v>
      </c>
      <c r="Y4" s="7">
        <f>SUM(X4)</f>
        <v>735</v>
      </c>
      <c r="Z4" s="1">
        <v>205</v>
      </c>
      <c r="AA4" s="7">
        <f>SUM(Z4)</f>
        <v>205</v>
      </c>
      <c r="AB4" s="7">
        <f>SUM(AA4,Y4,W4,R4)</f>
        <v>3450</v>
      </c>
    </row>
    <row r="5" spans="1:28" x14ac:dyDescent="0.3">
      <c r="A5" s="19"/>
      <c r="B5" s="6" t="s">
        <v>43</v>
      </c>
      <c r="C5" s="1">
        <v>351</v>
      </c>
      <c r="D5" s="1">
        <v>365</v>
      </c>
      <c r="E5" s="7">
        <f t="shared" ref="E5:E17" si="0">SUM(C5:D5)</f>
        <v>716</v>
      </c>
      <c r="F5" s="1">
        <v>159</v>
      </c>
      <c r="G5" s="1">
        <v>258</v>
      </c>
      <c r="H5" s="1">
        <v>635</v>
      </c>
      <c r="I5" s="1">
        <v>325</v>
      </c>
      <c r="J5" s="7">
        <f t="shared" ref="J5:J17" si="1">SUM(F5:I5)</f>
        <v>1377</v>
      </c>
      <c r="K5" s="1">
        <v>568</v>
      </c>
      <c r="L5" s="7">
        <f t="shared" ref="L5:L17" si="2">SUM(K5)</f>
        <v>568</v>
      </c>
      <c r="M5" s="1">
        <v>426</v>
      </c>
      <c r="N5" s="7">
        <f t="shared" ref="N5:N17" si="3">SUM(M5)</f>
        <v>426</v>
      </c>
      <c r="O5" s="7">
        <f t="shared" ref="O5:O17" si="4">SUM(N5,L5,J5,E5)</f>
        <v>3087</v>
      </c>
      <c r="P5" s="1">
        <v>154</v>
      </c>
      <c r="Q5" s="1">
        <v>236</v>
      </c>
      <c r="R5" s="7">
        <f t="shared" ref="R5:R17" si="5">SUM(P5:Q5)</f>
        <v>390</v>
      </c>
      <c r="S5" s="1">
        <v>236</v>
      </c>
      <c r="T5" s="1">
        <v>650</v>
      </c>
      <c r="U5" s="1">
        <v>157</v>
      </c>
      <c r="V5" s="1">
        <v>105</v>
      </c>
      <c r="W5" s="7">
        <f t="shared" ref="W5:W17" si="6">SUM(S5:V5)</f>
        <v>1148</v>
      </c>
      <c r="X5" s="1">
        <v>195</v>
      </c>
      <c r="Y5" s="7">
        <f t="shared" ref="Y5:Y17" si="7">SUM(X5)</f>
        <v>195</v>
      </c>
      <c r="Z5" s="1">
        <v>604</v>
      </c>
      <c r="AA5" s="7">
        <f t="shared" ref="AA5:AA17" si="8">SUM(Z5)</f>
        <v>604</v>
      </c>
      <c r="AB5" s="7">
        <f t="shared" ref="AB5:AB17" si="9">SUM(AA5,Y5,W5,R5)</f>
        <v>2337</v>
      </c>
    </row>
    <row r="6" spans="1:28" x14ac:dyDescent="0.3">
      <c r="A6" s="19"/>
      <c r="B6" s="4" t="s">
        <v>25</v>
      </c>
      <c r="C6" s="7">
        <f>SUM(C4:C5)</f>
        <v>837</v>
      </c>
      <c r="D6" s="7">
        <f>SUM(D4:D5)</f>
        <v>1276</v>
      </c>
      <c r="E6" s="7">
        <f t="shared" si="0"/>
        <v>2113</v>
      </c>
      <c r="F6" s="7">
        <f t="shared" ref="F6:M6" si="10">SUM(F4:F5)</f>
        <v>374</v>
      </c>
      <c r="G6" s="7">
        <f t="shared" si="10"/>
        <v>472</v>
      </c>
      <c r="H6" s="7">
        <f t="shared" si="10"/>
        <v>1620</v>
      </c>
      <c r="I6" s="7">
        <f t="shared" si="10"/>
        <v>479</v>
      </c>
      <c r="J6" s="7">
        <f t="shared" si="1"/>
        <v>2945</v>
      </c>
      <c r="K6" s="7">
        <f t="shared" si="10"/>
        <v>1422</v>
      </c>
      <c r="L6" s="7">
        <f t="shared" si="2"/>
        <v>1422</v>
      </c>
      <c r="M6" s="7">
        <f t="shared" si="10"/>
        <v>716</v>
      </c>
      <c r="N6" s="7">
        <f t="shared" si="3"/>
        <v>716</v>
      </c>
      <c r="O6" s="7">
        <f t="shared" si="4"/>
        <v>7196</v>
      </c>
      <c r="P6" s="7">
        <f t="shared" ref="P6:Q6" si="11">SUM(P4:P5)</f>
        <v>1001</v>
      </c>
      <c r="Q6" s="7">
        <f t="shared" si="11"/>
        <v>688</v>
      </c>
      <c r="R6" s="7">
        <f t="shared" si="5"/>
        <v>1689</v>
      </c>
      <c r="S6" s="7">
        <f t="shared" ref="S6" si="12">SUM(S4:S5)</f>
        <v>890</v>
      </c>
      <c r="T6" s="7">
        <f t="shared" ref="T6" si="13">SUM(T4:T5)</f>
        <v>800</v>
      </c>
      <c r="U6" s="7">
        <f t="shared" ref="U6" si="14">SUM(U4:U5)</f>
        <v>307</v>
      </c>
      <c r="V6" s="7">
        <f t="shared" ref="V6" si="15">SUM(V4:V5)</f>
        <v>362</v>
      </c>
      <c r="W6" s="7">
        <f t="shared" si="6"/>
        <v>2359</v>
      </c>
      <c r="X6" s="7">
        <f t="shared" ref="X6" si="16">SUM(X4:X5)</f>
        <v>930</v>
      </c>
      <c r="Y6" s="7">
        <f t="shared" si="7"/>
        <v>930</v>
      </c>
      <c r="Z6" s="7">
        <f t="shared" ref="Z6" si="17">SUM(Z4:Z5)</f>
        <v>809</v>
      </c>
      <c r="AA6" s="7">
        <f t="shared" si="8"/>
        <v>809</v>
      </c>
      <c r="AB6" s="7">
        <f t="shared" si="9"/>
        <v>5787</v>
      </c>
    </row>
    <row r="7" spans="1:28" x14ac:dyDescent="0.3">
      <c r="A7" s="19" t="s">
        <v>38</v>
      </c>
      <c r="B7" s="6" t="s">
        <v>44</v>
      </c>
      <c r="C7" s="1">
        <v>215</v>
      </c>
      <c r="D7" s="1">
        <v>235</v>
      </c>
      <c r="E7" s="7">
        <f t="shared" si="0"/>
        <v>450</v>
      </c>
      <c r="F7" s="1">
        <v>157</v>
      </c>
      <c r="G7" s="1">
        <v>571</v>
      </c>
      <c r="H7" s="1">
        <v>695</v>
      </c>
      <c r="I7" s="1">
        <v>154</v>
      </c>
      <c r="J7" s="7">
        <f t="shared" si="1"/>
        <v>1577</v>
      </c>
      <c r="K7" s="1">
        <v>154</v>
      </c>
      <c r="L7" s="7">
        <f t="shared" si="2"/>
        <v>154</v>
      </c>
      <c r="M7" s="1">
        <v>963</v>
      </c>
      <c r="N7" s="7">
        <f t="shared" si="3"/>
        <v>963</v>
      </c>
      <c r="O7" s="7">
        <f t="shared" si="4"/>
        <v>3144</v>
      </c>
      <c r="P7" s="1">
        <v>145</v>
      </c>
      <c r="Q7" s="1">
        <v>214</v>
      </c>
      <c r="R7" s="7">
        <f t="shared" si="5"/>
        <v>359</v>
      </c>
      <c r="S7" s="1">
        <v>145</v>
      </c>
      <c r="T7" s="1">
        <v>156</v>
      </c>
      <c r="U7" s="1">
        <v>153</v>
      </c>
      <c r="V7" s="1">
        <v>658</v>
      </c>
      <c r="W7" s="7">
        <f t="shared" si="6"/>
        <v>1112</v>
      </c>
      <c r="X7" s="1">
        <v>451</v>
      </c>
      <c r="Y7" s="7">
        <f t="shared" si="7"/>
        <v>451</v>
      </c>
      <c r="Z7" s="1">
        <v>250</v>
      </c>
      <c r="AA7" s="7">
        <f t="shared" si="8"/>
        <v>250</v>
      </c>
      <c r="AB7" s="7">
        <f t="shared" si="9"/>
        <v>2172</v>
      </c>
    </row>
    <row r="8" spans="1:28" x14ac:dyDescent="0.3">
      <c r="A8" s="19"/>
      <c r="B8" s="6" t="s">
        <v>45</v>
      </c>
      <c r="C8" s="1">
        <v>654</v>
      </c>
      <c r="D8" s="1">
        <v>874</v>
      </c>
      <c r="E8" s="7">
        <f t="shared" si="0"/>
        <v>1528</v>
      </c>
      <c r="F8" s="1">
        <v>499</v>
      </c>
      <c r="G8" s="1">
        <v>568</v>
      </c>
      <c r="H8" s="1">
        <v>374</v>
      </c>
      <c r="I8" s="1">
        <v>546</v>
      </c>
      <c r="J8" s="7">
        <f t="shared" si="1"/>
        <v>1987</v>
      </c>
      <c r="K8" s="1">
        <v>555</v>
      </c>
      <c r="L8" s="7">
        <f t="shared" si="2"/>
        <v>555</v>
      </c>
      <c r="M8" s="1">
        <v>357</v>
      </c>
      <c r="N8" s="7">
        <f t="shared" si="3"/>
        <v>357</v>
      </c>
      <c r="O8" s="7">
        <f t="shared" si="4"/>
        <v>4427</v>
      </c>
      <c r="P8" s="1">
        <v>658</v>
      </c>
      <c r="Q8" s="1">
        <v>125</v>
      </c>
      <c r="R8" s="7">
        <f t="shared" si="5"/>
        <v>783</v>
      </c>
      <c r="S8" s="1">
        <v>125</v>
      </c>
      <c r="T8" s="1">
        <v>150</v>
      </c>
      <c r="U8" s="1">
        <v>359</v>
      </c>
      <c r="V8" s="1">
        <v>268</v>
      </c>
      <c r="W8" s="7">
        <f t="shared" si="6"/>
        <v>902</v>
      </c>
      <c r="X8" s="1">
        <v>651</v>
      </c>
      <c r="Y8" s="7">
        <f t="shared" si="7"/>
        <v>651</v>
      </c>
      <c r="Z8" s="1">
        <v>600</v>
      </c>
      <c r="AA8" s="7">
        <f t="shared" si="8"/>
        <v>600</v>
      </c>
      <c r="AB8" s="7">
        <f t="shared" si="9"/>
        <v>2936</v>
      </c>
    </row>
    <row r="9" spans="1:28" x14ac:dyDescent="0.3">
      <c r="A9" s="19"/>
      <c r="B9" s="4" t="s">
        <v>26</v>
      </c>
      <c r="C9" s="7">
        <f>SUM(C7:C8)</f>
        <v>869</v>
      </c>
      <c r="D9" s="7">
        <f>SUM(D7:D8)</f>
        <v>1109</v>
      </c>
      <c r="E9" s="7">
        <f t="shared" si="0"/>
        <v>1978</v>
      </c>
      <c r="F9" s="7">
        <f t="shared" ref="F9" si="18">SUM(F7:F8)</f>
        <v>656</v>
      </c>
      <c r="G9" s="7">
        <f t="shared" ref="G9" si="19">SUM(G7:G8)</f>
        <v>1139</v>
      </c>
      <c r="H9" s="7">
        <f t="shared" ref="H9" si="20">SUM(H7:H8)</f>
        <v>1069</v>
      </c>
      <c r="I9" s="7">
        <f t="shared" ref="I9" si="21">SUM(I7:I8)</f>
        <v>700</v>
      </c>
      <c r="J9" s="7">
        <f t="shared" si="1"/>
        <v>3564</v>
      </c>
      <c r="K9" s="7">
        <f t="shared" ref="K9" si="22">SUM(K7:K8)</f>
        <v>709</v>
      </c>
      <c r="L9" s="7">
        <f t="shared" si="2"/>
        <v>709</v>
      </c>
      <c r="M9" s="7">
        <f t="shared" ref="M9" si="23">SUM(M7:M8)</f>
        <v>1320</v>
      </c>
      <c r="N9" s="7">
        <f t="shared" si="3"/>
        <v>1320</v>
      </c>
      <c r="O9" s="7">
        <f t="shared" si="4"/>
        <v>7571</v>
      </c>
      <c r="P9" s="7">
        <f t="shared" ref="P9:Q9" si="24">SUM(P7:P8)</f>
        <v>803</v>
      </c>
      <c r="Q9" s="7">
        <f t="shared" si="24"/>
        <v>339</v>
      </c>
      <c r="R9" s="7">
        <f t="shared" si="5"/>
        <v>1142</v>
      </c>
      <c r="S9" s="7">
        <f t="shared" ref="S9" si="25">SUM(S7:S8)</f>
        <v>270</v>
      </c>
      <c r="T9" s="7">
        <f t="shared" ref="T9" si="26">SUM(T7:T8)</f>
        <v>306</v>
      </c>
      <c r="U9" s="7">
        <f t="shared" ref="U9" si="27">SUM(U7:U8)</f>
        <v>512</v>
      </c>
      <c r="V9" s="7">
        <f t="shared" ref="V9" si="28">SUM(V7:V8)</f>
        <v>926</v>
      </c>
      <c r="W9" s="7">
        <f t="shared" si="6"/>
        <v>2014</v>
      </c>
      <c r="X9" s="7">
        <f t="shared" ref="X9" si="29">SUM(X7:X8)</f>
        <v>1102</v>
      </c>
      <c r="Y9" s="7">
        <f t="shared" si="7"/>
        <v>1102</v>
      </c>
      <c r="Z9" s="7">
        <f t="shared" ref="Z9" si="30">SUM(Z7:Z8)</f>
        <v>850</v>
      </c>
      <c r="AA9" s="7">
        <f t="shared" si="8"/>
        <v>850</v>
      </c>
      <c r="AB9" s="7">
        <f t="shared" si="9"/>
        <v>5108</v>
      </c>
    </row>
    <row r="10" spans="1:28" x14ac:dyDescent="0.3">
      <c r="A10" s="19" t="s">
        <v>39</v>
      </c>
      <c r="B10" s="6" t="s">
        <v>46</v>
      </c>
      <c r="C10" s="1">
        <v>954</v>
      </c>
      <c r="D10" s="1">
        <v>351</v>
      </c>
      <c r="E10" s="7">
        <f t="shared" si="0"/>
        <v>1305</v>
      </c>
      <c r="F10" s="1">
        <v>548</v>
      </c>
      <c r="G10" s="1">
        <v>845</v>
      </c>
      <c r="H10" s="1">
        <v>248</v>
      </c>
      <c r="I10" s="1">
        <v>685</v>
      </c>
      <c r="J10" s="7">
        <f t="shared" si="1"/>
        <v>2326</v>
      </c>
      <c r="K10" s="1">
        <v>564</v>
      </c>
      <c r="L10" s="7">
        <f t="shared" si="2"/>
        <v>564</v>
      </c>
      <c r="M10" s="1">
        <v>159</v>
      </c>
      <c r="N10" s="7">
        <f t="shared" si="3"/>
        <v>159</v>
      </c>
      <c r="O10" s="7">
        <f t="shared" si="4"/>
        <v>4354</v>
      </c>
      <c r="P10" s="1">
        <v>258</v>
      </c>
      <c r="Q10" s="1">
        <v>256</v>
      </c>
      <c r="R10" s="7">
        <f t="shared" si="5"/>
        <v>514</v>
      </c>
      <c r="S10" s="1">
        <v>256</v>
      </c>
      <c r="T10" s="1">
        <v>156</v>
      </c>
      <c r="U10" s="1">
        <v>248</v>
      </c>
      <c r="V10" s="1">
        <v>462</v>
      </c>
      <c r="W10" s="7">
        <f t="shared" si="6"/>
        <v>1122</v>
      </c>
      <c r="X10" s="1">
        <v>102</v>
      </c>
      <c r="Y10" s="7">
        <f t="shared" si="7"/>
        <v>102</v>
      </c>
      <c r="Z10" s="1">
        <v>817</v>
      </c>
      <c r="AA10" s="7">
        <f t="shared" si="8"/>
        <v>817</v>
      </c>
      <c r="AB10" s="7">
        <f t="shared" si="9"/>
        <v>2555</v>
      </c>
    </row>
    <row r="11" spans="1:28" x14ac:dyDescent="0.3">
      <c r="A11" s="19"/>
      <c r="B11" s="6" t="s">
        <v>47</v>
      </c>
      <c r="C11" s="1">
        <v>254</v>
      </c>
      <c r="D11" s="1">
        <v>954</v>
      </c>
      <c r="E11" s="7">
        <f t="shared" si="0"/>
        <v>1208</v>
      </c>
      <c r="F11" s="1">
        <v>847</v>
      </c>
      <c r="G11" s="1">
        <v>254</v>
      </c>
      <c r="H11" s="1">
        <v>145</v>
      </c>
      <c r="I11" s="1">
        <v>458</v>
      </c>
      <c r="J11" s="7">
        <f t="shared" si="1"/>
        <v>1704</v>
      </c>
      <c r="K11" s="1">
        <v>257</v>
      </c>
      <c r="L11" s="7">
        <f t="shared" si="2"/>
        <v>257</v>
      </c>
      <c r="M11" s="1">
        <v>621</v>
      </c>
      <c r="N11" s="7">
        <f t="shared" si="3"/>
        <v>621</v>
      </c>
      <c r="O11" s="7">
        <f t="shared" si="4"/>
        <v>3790</v>
      </c>
      <c r="P11" s="1">
        <v>659</v>
      </c>
      <c r="Q11" s="1">
        <v>145</v>
      </c>
      <c r="R11" s="7">
        <f t="shared" si="5"/>
        <v>804</v>
      </c>
      <c r="S11" s="1">
        <v>201</v>
      </c>
      <c r="T11" s="1">
        <v>541</v>
      </c>
      <c r="U11" s="1">
        <v>846</v>
      </c>
      <c r="V11" s="1">
        <v>264</v>
      </c>
      <c r="W11" s="7">
        <f t="shared" si="6"/>
        <v>1852</v>
      </c>
      <c r="X11" s="1">
        <v>506</v>
      </c>
      <c r="Y11" s="7">
        <f t="shared" si="7"/>
        <v>506</v>
      </c>
      <c r="Z11" s="1">
        <v>320</v>
      </c>
      <c r="AA11" s="7">
        <f t="shared" si="8"/>
        <v>320</v>
      </c>
      <c r="AB11" s="7">
        <f t="shared" si="9"/>
        <v>3482</v>
      </c>
    </row>
    <row r="12" spans="1:28" x14ac:dyDescent="0.3">
      <c r="A12" s="19"/>
      <c r="B12" s="4" t="s">
        <v>27</v>
      </c>
      <c r="C12" s="7">
        <f>SUM(C10:C11)</f>
        <v>1208</v>
      </c>
      <c r="D12" s="7">
        <f>SUM(D10:D11)</f>
        <v>1305</v>
      </c>
      <c r="E12" s="7">
        <f t="shared" si="0"/>
        <v>2513</v>
      </c>
      <c r="F12" s="7">
        <f t="shared" ref="F12" si="31">SUM(F10:F11)</f>
        <v>1395</v>
      </c>
      <c r="G12" s="7">
        <f t="shared" ref="G12" si="32">SUM(G10:G11)</f>
        <v>1099</v>
      </c>
      <c r="H12" s="7">
        <f t="shared" ref="H12" si="33">SUM(H10:H11)</f>
        <v>393</v>
      </c>
      <c r="I12" s="7">
        <f t="shared" ref="I12" si="34">SUM(I10:I11)</f>
        <v>1143</v>
      </c>
      <c r="J12" s="7">
        <f t="shared" si="1"/>
        <v>4030</v>
      </c>
      <c r="K12" s="7">
        <f t="shared" ref="K12" si="35">SUM(K10:K11)</f>
        <v>821</v>
      </c>
      <c r="L12" s="7">
        <f t="shared" si="2"/>
        <v>821</v>
      </c>
      <c r="M12" s="7">
        <f t="shared" ref="M12" si="36">SUM(M10:M11)</f>
        <v>780</v>
      </c>
      <c r="N12" s="7">
        <f t="shared" si="3"/>
        <v>780</v>
      </c>
      <c r="O12" s="7">
        <f t="shared" si="4"/>
        <v>8144</v>
      </c>
      <c r="P12" s="7">
        <f t="shared" ref="P12:Q12" si="37">SUM(P10:P11)</f>
        <v>917</v>
      </c>
      <c r="Q12" s="7">
        <f t="shared" si="37"/>
        <v>401</v>
      </c>
      <c r="R12" s="7">
        <f t="shared" si="5"/>
        <v>1318</v>
      </c>
      <c r="S12" s="7">
        <f t="shared" ref="S12" si="38">SUM(S10:S11)</f>
        <v>457</v>
      </c>
      <c r="T12" s="7">
        <f t="shared" ref="T12" si="39">SUM(T10:T11)</f>
        <v>697</v>
      </c>
      <c r="U12" s="7">
        <f t="shared" ref="U12" si="40">SUM(U10:U11)</f>
        <v>1094</v>
      </c>
      <c r="V12" s="7">
        <f t="shared" ref="V12" si="41">SUM(V10:V11)</f>
        <v>726</v>
      </c>
      <c r="W12" s="7">
        <f t="shared" si="6"/>
        <v>2974</v>
      </c>
      <c r="X12" s="7">
        <f t="shared" ref="X12" si="42">SUM(X10:X11)</f>
        <v>608</v>
      </c>
      <c r="Y12" s="7">
        <f t="shared" si="7"/>
        <v>608</v>
      </c>
      <c r="Z12" s="7">
        <f t="shared" ref="Z12" si="43">SUM(Z10:Z11)</f>
        <v>1137</v>
      </c>
      <c r="AA12" s="7">
        <f t="shared" si="8"/>
        <v>1137</v>
      </c>
      <c r="AB12" s="7">
        <f t="shared" si="9"/>
        <v>6037</v>
      </c>
    </row>
    <row r="13" spans="1:28" x14ac:dyDescent="0.3">
      <c r="A13" s="19" t="s">
        <v>40</v>
      </c>
      <c r="B13" s="6" t="s">
        <v>48</v>
      </c>
      <c r="C13" s="1">
        <v>251</v>
      </c>
      <c r="D13" s="1">
        <v>215</v>
      </c>
      <c r="E13" s="7">
        <f t="shared" si="0"/>
        <v>466</v>
      </c>
      <c r="F13" s="1">
        <v>145</v>
      </c>
      <c r="G13" s="1">
        <v>854</v>
      </c>
      <c r="H13" s="1">
        <v>947</v>
      </c>
      <c r="I13" s="1">
        <v>584</v>
      </c>
      <c r="J13" s="7">
        <f t="shared" si="1"/>
        <v>2530</v>
      </c>
      <c r="K13" s="1">
        <v>852</v>
      </c>
      <c r="L13" s="7">
        <f t="shared" si="2"/>
        <v>852</v>
      </c>
      <c r="M13" s="1">
        <v>485</v>
      </c>
      <c r="N13" s="7">
        <f t="shared" si="3"/>
        <v>485</v>
      </c>
      <c r="O13" s="7">
        <f t="shared" si="4"/>
        <v>4333</v>
      </c>
      <c r="P13" s="1">
        <v>326</v>
      </c>
      <c r="Q13" s="1">
        <v>152</v>
      </c>
      <c r="R13" s="7">
        <f t="shared" si="5"/>
        <v>478</v>
      </c>
      <c r="S13" s="1">
        <v>260</v>
      </c>
      <c r="T13" s="1">
        <v>698</v>
      </c>
      <c r="U13" s="1">
        <v>605</v>
      </c>
      <c r="V13" s="1">
        <v>964</v>
      </c>
      <c r="W13" s="7">
        <f t="shared" si="6"/>
        <v>2527</v>
      </c>
      <c r="X13" s="1">
        <v>140</v>
      </c>
      <c r="Y13" s="7">
        <f t="shared" si="7"/>
        <v>140</v>
      </c>
      <c r="Z13" s="1">
        <v>520</v>
      </c>
      <c r="AA13" s="7">
        <f t="shared" si="8"/>
        <v>520</v>
      </c>
      <c r="AB13" s="7">
        <f t="shared" si="9"/>
        <v>3665</v>
      </c>
    </row>
    <row r="14" spans="1:28" x14ac:dyDescent="0.3">
      <c r="A14" s="19"/>
      <c r="B14" s="4" t="s">
        <v>28</v>
      </c>
      <c r="C14" s="7">
        <f>SUM(C13)</f>
        <v>251</v>
      </c>
      <c r="D14" s="7">
        <f>SUM(D13)</f>
        <v>215</v>
      </c>
      <c r="E14" s="7">
        <f t="shared" si="0"/>
        <v>466</v>
      </c>
      <c r="F14" s="7">
        <f t="shared" ref="F14:I14" si="44">SUM(F13)</f>
        <v>145</v>
      </c>
      <c r="G14" s="7">
        <f t="shared" si="44"/>
        <v>854</v>
      </c>
      <c r="H14" s="7">
        <f t="shared" si="44"/>
        <v>947</v>
      </c>
      <c r="I14" s="7">
        <f t="shared" si="44"/>
        <v>584</v>
      </c>
      <c r="J14" s="7">
        <f t="shared" si="1"/>
        <v>2530</v>
      </c>
      <c r="K14" s="7">
        <f t="shared" ref="F14:M16" si="45">SUM(K13)</f>
        <v>852</v>
      </c>
      <c r="L14" s="7">
        <f t="shared" si="2"/>
        <v>852</v>
      </c>
      <c r="M14" s="7">
        <f t="shared" si="45"/>
        <v>485</v>
      </c>
      <c r="N14" s="7">
        <f t="shared" si="3"/>
        <v>485</v>
      </c>
      <c r="O14" s="7">
        <f t="shared" si="4"/>
        <v>4333</v>
      </c>
      <c r="P14" s="7">
        <f t="shared" ref="P14:Q14" si="46">SUM(P13)</f>
        <v>326</v>
      </c>
      <c r="Q14" s="7">
        <f t="shared" si="46"/>
        <v>152</v>
      </c>
      <c r="R14" s="7">
        <f t="shared" si="5"/>
        <v>478</v>
      </c>
      <c r="S14" s="7">
        <f t="shared" ref="S14" si="47">SUM(S13)</f>
        <v>260</v>
      </c>
      <c r="T14" s="7">
        <f t="shared" ref="T14" si="48">SUM(T13)</f>
        <v>698</v>
      </c>
      <c r="U14" s="7">
        <f t="shared" ref="U14" si="49">SUM(U13)</f>
        <v>605</v>
      </c>
      <c r="V14" s="7">
        <f t="shared" ref="V14" si="50">SUM(V13)</f>
        <v>964</v>
      </c>
      <c r="W14" s="7">
        <f t="shared" si="6"/>
        <v>2527</v>
      </c>
      <c r="X14" s="7">
        <f t="shared" ref="X14" si="51">SUM(X13)</f>
        <v>140</v>
      </c>
      <c r="Y14" s="7">
        <f t="shared" si="7"/>
        <v>140</v>
      </c>
      <c r="Z14" s="7">
        <f t="shared" ref="Z14" si="52">SUM(Z13)</f>
        <v>520</v>
      </c>
      <c r="AA14" s="7">
        <f t="shared" si="8"/>
        <v>520</v>
      </c>
      <c r="AB14" s="7">
        <f t="shared" si="9"/>
        <v>3665</v>
      </c>
    </row>
    <row r="15" spans="1:28" x14ac:dyDescent="0.3">
      <c r="A15" s="17" t="s">
        <v>41</v>
      </c>
      <c r="B15" s="6" t="s">
        <v>49</v>
      </c>
      <c r="C15" s="1">
        <v>547</v>
      </c>
      <c r="D15" s="1">
        <v>250</v>
      </c>
      <c r="E15" s="7">
        <f t="shared" si="0"/>
        <v>797</v>
      </c>
      <c r="F15" s="1">
        <v>854</v>
      </c>
      <c r="G15" s="1">
        <v>154</v>
      </c>
      <c r="H15" s="1">
        <v>856</v>
      </c>
      <c r="I15" s="1">
        <v>854</v>
      </c>
      <c r="J15" s="7">
        <f t="shared" si="1"/>
        <v>2718</v>
      </c>
      <c r="K15" s="1">
        <v>147</v>
      </c>
      <c r="L15" s="7">
        <f t="shared" si="2"/>
        <v>147</v>
      </c>
      <c r="M15" s="1">
        <v>167</v>
      </c>
      <c r="N15" s="7">
        <f t="shared" si="3"/>
        <v>167</v>
      </c>
      <c r="O15" s="7">
        <f t="shared" si="4"/>
        <v>3829</v>
      </c>
      <c r="P15" s="1">
        <v>254</v>
      </c>
      <c r="Q15" s="1">
        <v>256</v>
      </c>
      <c r="R15" s="7">
        <f t="shared" si="5"/>
        <v>510</v>
      </c>
      <c r="S15" s="1">
        <v>120</v>
      </c>
      <c r="T15" s="1">
        <v>570</v>
      </c>
      <c r="U15" s="1">
        <v>100</v>
      </c>
      <c r="V15" s="1">
        <v>157</v>
      </c>
      <c r="W15" s="7">
        <f t="shared" si="6"/>
        <v>947</v>
      </c>
      <c r="X15" s="1">
        <v>209</v>
      </c>
      <c r="Y15" s="7">
        <f t="shared" si="7"/>
        <v>209</v>
      </c>
      <c r="Z15" s="1">
        <v>601</v>
      </c>
      <c r="AA15" s="7">
        <f t="shared" si="8"/>
        <v>601</v>
      </c>
      <c r="AB15" s="7">
        <f t="shared" si="9"/>
        <v>2267</v>
      </c>
    </row>
    <row r="16" spans="1:28" x14ac:dyDescent="0.3">
      <c r="A16" s="17"/>
      <c r="B16" s="5" t="s">
        <v>29</v>
      </c>
      <c r="C16" s="7">
        <f>SUM(C15)</f>
        <v>547</v>
      </c>
      <c r="D16" s="7">
        <f>SUM(D15)</f>
        <v>250</v>
      </c>
      <c r="E16" s="7">
        <f t="shared" si="0"/>
        <v>797</v>
      </c>
      <c r="F16" s="7">
        <f t="shared" si="45"/>
        <v>854</v>
      </c>
      <c r="G16" s="7">
        <f t="shared" si="45"/>
        <v>154</v>
      </c>
      <c r="H16" s="7">
        <f t="shared" si="45"/>
        <v>856</v>
      </c>
      <c r="I16" s="7">
        <f t="shared" si="45"/>
        <v>854</v>
      </c>
      <c r="J16" s="7">
        <f t="shared" si="1"/>
        <v>2718</v>
      </c>
      <c r="K16" s="7">
        <f t="shared" si="45"/>
        <v>147</v>
      </c>
      <c r="L16" s="7">
        <f t="shared" si="2"/>
        <v>147</v>
      </c>
      <c r="M16" s="7">
        <f t="shared" si="45"/>
        <v>167</v>
      </c>
      <c r="N16" s="7">
        <f t="shared" si="3"/>
        <v>167</v>
      </c>
      <c r="O16" s="7">
        <f t="shared" si="4"/>
        <v>3829</v>
      </c>
      <c r="P16" s="7">
        <f t="shared" ref="P16:Q16" si="53">SUM(P15)</f>
        <v>254</v>
      </c>
      <c r="Q16" s="7">
        <f t="shared" si="53"/>
        <v>256</v>
      </c>
      <c r="R16" s="7">
        <f t="shared" si="5"/>
        <v>510</v>
      </c>
      <c r="S16" s="7">
        <f t="shared" ref="S16" si="54">SUM(S15)</f>
        <v>120</v>
      </c>
      <c r="T16" s="7">
        <f t="shared" ref="T16" si="55">SUM(T15)</f>
        <v>570</v>
      </c>
      <c r="U16" s="7">
        <f t="shared" ref="U16" si="56">SUM(U15)</f>
        <v>100</v>
      </c>
      <c r="V16" s="7">
        <f t="shared" ref="V16" si="57">SUM(V15)</f>
        <v>157</v>
      </c>
      <c r="W16" s="7">
        <f t="shared" si="6"/>
        <v>947</v>
      </c>
      <c r="X16" s="7">
        <f t="shared" ref="X16" si="58">SUM(X15)</f>
        <v>209</v>
      </c>
      <c r="Y16" s="7">
        <f t="shared" si="7"/>
        <v>209</v>
      </c>
      <c r="Z16" s="7">
        <f t="shared" ref="Z16" si="59">SUM(Z15)</f>
        <v>601</v>
      </c>
      <c r="AA16" s="7">
        <f t="shared" si="8"/>
        <v>601</v>
      </c>
      <c r="AB16" s="7">
        <f t="shared" si="9"/>
        <v>2267</v>
      </c>
    </row>
    <row r="17" spans="1:28" x14ac:dyDescent="0.3">
      <c r="A17" s="16" t="s">
        <v>34</v>
      </c>
      <c r="B17" s="16"/>
      <c r="C17" s="7">
        <f>SUM(C16,C14,C12,C9,C6)</f>
        <v>3712</v>
      </c>
      <c r="D17" s="7">
        <f>SUM(D16,D14,D12,D9,D6)</f>
        <v>4155</v>
      </c>
      <c r="E17" s="7">
        <f t="shared" si="0"/>
        <v>7867</v>
      </c>
      <c r="F17" s="7">
        <f>SUM(F16,F14,F12,F9,F6)</f>
        <v>3424</v>
      </c>
      <c r="G17" s="7">
        <f>SUM(G16,G14,G12,G9,G6)</f>
        <v>3718</v>
      </c>
      <c r="H17" s="7">
        <f>SUM(H16,H14,H12,H9,H6)</f>
        <v>4885</v>
      </c>
      <c r="I17" s="7">
        <f>SUM(I16,I14,I12,I9,I6)</f>
        <v>3760</v>
      </c>
      <c r="J17" s="7">
        <f t="shared" si="1"/>
        <v>15787</v>
      </c>
      <c r="K17" s="7">
        <f>SUM(K16,K14,K12,K9,K6)</f>
        <v>3951</v>
      </c>
      <c r="L17" s="7">
        <f t="shared" si="2"/>
        <v>3951</v>
      </c>
      <c r="M17" s="7">
        <f>SUM(M16,M14,M12,M9,M6)</f>
        <v>3468</v>
      </c>
      <c r="N17" s="7">
        <f t="shared" si="3"/>
        <v>3468</v>
      </c>
      <c r="O17" s="7">
        <f t="shared" si="4"/>
        <v>31073</v>
      </c>
      <c r="P17" s="7">
        <f>SUM(P16,P14,P12,P9,P6)</f>
        <v>3301</v>
      </c>
      <c r="Q17" s="7">
        <f>SUM(Q16,Q14,Q12,Q9,Q6)</f>
        <v>1836</v>
      </c>
      <c r="R17" s="7">
        <f t="shared" si="5"/>
        <v>5137</v>
      </c>
      <c r="S17" s="7">
        <f>SUM(S16,S14,S12,S9,S6)</f>
        <v>1997</v>
      </c>
      <c r="T17" s="7">
        <f>SUM(T16,T14,T12,T9,T6)</f>
        <v>3071</v>
      </c>
      <c r="U17" s="7">
        <f>SUM(U16,U14,U12,U9,U6)</f>
        <v>2618</v>
      </c>
      <c r="V17" s="7">
        <f>SUM(V16,V14,V12,V9,V6)</f>
        <v>3135</v>
      </c>
      <c r="W17" s="7">
        <f t="shared" si="6"/>
        <v>10821</v>
      </c>
      <c r="X17" s="7">
        <f>SUM(X16,X14,X12,X9,X6)</f>
        <v>2989</v>
      </c>
      <c r="Y17" s="7">
        <f t="shared" si="7"/>
        <v>2989</v>
      </c>
      <c r="Z17" s="7">
        <f>SUM(Z16,Z14,Z12,Z9,Z6)</f>
        <v>3917</v>
      </c>
      <c r="AA17" s="7">
        <f t="shared" si="8"/>
        <v>3917</v>
      </c>
      <c r="AB17" s="7">
        <f t="shared" si="9"/>
        <v>22864</v>
      </c>
    </row>
  </sheetData>
  <mergeCells count="18">
    <mergeCell ref="C1:O1"/>
    <mergeCell ref="A4:A6"/>
    <mergeCell ref="A7:A9"/>
    <mergeCell ref="A10:A12"/>
    <mergeCell ref="A13:A14"/>
    <mergeCell ref="C2:E2"/>
    <mergeCell ref="F2:J2"/>
    <mergeCell ref="P1:AB1"/>
    <mergeCell ref="P2:R2"/>
    <mergeCell ref="S2:W2"/>
    <mergeCell ref="X2:Y2"/>
    <mergeCell ref="Z2:AA2"/>
    <mergeCell ref="AB2:AB3"/>
    <mergeCell ref="K2:L2"/>
    <mergeCell ref="M2:N2"/>
    <mergeCell ref="A17:B17"/>
    <mergeCell ref="O2:O3"/>
    <mergeCell ref="A15:A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B17"/>
  <sheetViews>
    <sheetView topLeftCell="P1" zoomScale="75" zoomScaleNormal="75" workbookViewId="0">
      <selection activeCell="P1" sqref="P1:AB1"/>
    </sheetView>
  </sheetViews>
  <sheetFormatPr defaultRowHeight="14.4" x14ac:dyDescent="0.3"/>
  <cols>
    <col min="1" max="1" width="10.33203125" bestFit="1" customWidth="1"/>
    <col min="2" max="2" width="29" bestFit="1" customWidth="1"/>
    <col min="3" max="3" width="10.33203125" bestFit="1" customWidth="1"/>
    <col min="4" max="4" width="13" bestFit="1" customWidth="1"/>
    <col min="5" max="5" width="27.5546875" bestFit="1" customWidth="1"/>
    <col min="6" max="7" width="9" bestFit="1" customWidth="1"/>
    <col min="8" max="8" width="8.6640625" bestFit="1" customWidth="1"/>
    <col min="9" max="9" width="12.5546875" bestFit="1" customWidth="1"/>
    <col min="10" max="10" width="22.88671875" bestFit="1" customWidth="1"/>
    <col min="11" max="11" width="9.44140625" bestFit="1" customWidth="1"/>
    <col min="12" max="12" width="31.33203125" bestFit="1" customWidth="1"/>
    <col min="13" max="13" width="6.33203125" bestFit="1" customWidth="1"/>
    <col min="14" max="14" width="27.5546875" bestFit="1" customWidth="1"/>
    <col min="15" max="15" width="19.6640625" bestFit="1" customWidth="1"/>
    <col min="16" max="16" width="10.33203125" bestFit="1" customWidth="1"/>
    <col min="17" max="17" width="13" bestFit="1" customWidth="1"/>
    <col min="18" max="18" width="27.5546875" bestFit="1" customWidth="1"/>
    <col min="19" max="20" width="9" bestFit="1" customWidth="1"/>
    <col min="21" max="21" width="8.6640625" bestFit="1" customWidth="1"/>
    <col min="22" max="22" width="12.5546875" bestFit="1" customWidth="1"/>
    <col min="23" max="23" width="22.88671875" bestFit="1" customWidth="1"/>
    <col min="24" max="24" width="9.44140625" bestFit="1" customWidth="1"/>
    <col min="25" max="25" width="31.33203125" bestFit="1" customWidth="1"/>
    <col min="26" max="26" width="6.33203125" bestFit="1" customWidth="1"/>
    <col min="27" max="27" width="27.5546875" bestFit="1" customWidth="1"/>
    <col min="28" max="28" width="19.6640625" bestFit="1" customWidth="1"/>
  </cols>
  <sheetData>
    <row r="1" spans="1:28" x14ac:dyDescent="0.3">
      <c r="A1" s="2"/>
      <c r="B1" s="2"/>
      <c r="C1" s="18">
        <v>2017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>
        <v>2018</v>
      </c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x14ac:dyDescent="0.3">
      <c r="A2" s="2"/>
      <c r="B2" s="2"/>
      <c r="C2" s="15" t="s">
        <v>50</v>
      </c>
      <c r="D2" s="15"/>
      <c r="E2" s="15"/>
      <c r="F2" s="15" t="s">
        <v>61</v>
      </c>
      <c r="G2" s="15"/>
      <c r="H2" s="15"/>
      <c r="I2" s="15"/>
      <c r="J2" s="15"/>
      <c r="K2" s="15" t="s">
        <v>58</v>
      </c>
      <c r="L2" s="15"/>
      <c r="M2" s="15" t="s">
        <v>59</v>
      </c>
      <c r="N2" s="15"/>
      <c r="O2" s="15" t="s">
        <v>35</v>
      </c>
      <c r="P2" s="15" t="s">
        <v>50</v>
      </c>
      <c r="Q2" s="15"/>
      <c r="R2" s="15"/>
      <c r="S2" s="15" t="s">
        <v>61</v>
      </c>
      <c r="T2" s="15"/>
      <c r="U2" s="15"/>
      <c r="V2" s="15"/>
      <c r="W2" s="15"/>
      <c r="X2" s="15" t="s">
        <v>58</v>
      </c>
      <c r="Y2" s="15"/>
      <c r="Z2" s="15" t="s">
        <v>59</v>
      </c>
      <c r="AA2" s="15"/>
      <c r="AB2" s="15" t="s">
        <v>35</v>
      </c>
    </row>
    <row r="3" spans="1:28" x14ac:dyDescent="0.3">
      <c r="A3" s="2"/>
      <c r="B3" s="2"/>
      <c r="C3" s="8" t="s">
        <v>51</v>
      </c>
      <c r="D3" s="8" t="s">
        <v>52</v>
      </c>
      <c r="E3" s="3" t="s">
        <v>30</v>
      </c>
      <c r="F3" s="8" t="s">
        <v>53</v>
      </c>
      <c r="G3" s="8" t="s">
        <v>54</v>
      </c>
      <c r="H3" s="8" t="s">
        <v>55</v>
      </c>
      <c r="I3" s="8" t="s">
        <v>56</v>
      </c>
      <c r="J3" s="3" t="s">
        <v>31</v>
      </c>
      <c r="K3" s="8" t="s">
        <v>57</v>
      </c>
      <c r="L3" s="3" t="s">
        <v>32</v>
      </c>
      <c r="M3" s="8" t="s">
        <v>60</v>
      </c>
      <c r="N3" s="3" t="s">
        <v>33</v>
      </c>
      <c r="O3" s="15"/>
      <c r="P3" s="8" t="s">
        <v>51</v>
      </c>
      <c r="Q3" s="8" t="s">
        <v>52</v>
      </c>
      <c r="R3" s="3" t="s">
        <v>30</v>
      </c>
      <c r="S3" s="8" t="s">
        <v>53</v>
      </c>
      <c r="T3" s="8" t="s">
        <v>54</v>
      </c>
      <c r="U3" s="8" t="s">
        <v>55</v>
      </c>
      <c r="V3" s="8" t="s">
        <v>56</v>
      </c>
      <c r="W3" s="3" t="s">
        <v>31</v>
      </c>
      <c r="X3" s="8" t="s">
        <v>57</v>
      </c>
      <c r="Y3" s="3" t="s">
        <v>32</v>
      </c>
      <c r="Z3" s="8" t="s">
        <v>60</v>
      </c>
      <c r="AA3" s="3" t="s">
        <v>33</v>
      </c>
      <c r="AB3" s="15"/>
    </row>
    <row r="4" spans="1:28" x14ac:dyDescent="0.3">
      <c r="A4" s="19" t="s">
        <v>37</v>
      </c>
      <c r="B4" s="6" t="s">
        <v>42</v>
      </c>
      <c r="C4">
        <v>7.65</v>
      </c>
      <c r="D4">
        <v>8.8800000000000008</v>
      </c>
      <c r="E4" s="7"/>
      <c r="F4">
        <v>9.23</v>
      </c>
      <c r="G4">
        <v>7.96</v>
      </c>
      <c r="H4">
        <v>9.94</v>
      </c>
      <c r="I4">
        <v>6.91</v>
      </c>
      <c r="J4" s="7"/>
      <c r="K4">
        <v>12.07</v>
      </c>
      <c r="L4" s="7"/>
      <c r="M4">
        <v>9.0399999999999991</v>
      </c>
      <c r="N4" s="7"/>
      <c r="O4" s="7"/>
      <c r="P4">
        <v>14.66</v>
      </c>
      <c r="Q4">
        <v>14.14</v>
      </c>
      <c r="R4" s="7"/>
      <c r="S4">
        <v>11.15</v>
      </c>
      <c r="T4">
        <v>5.57</v>
      </c>
      <c r="U4">
        <v>11.35</v>
      </c>
      <c r="V4">
        <v>6.8100000000000005</v>
      </c>
      <c r="W4" s="7"/>
      <c r="X4">
        <v>9.0299999999999994</v>
      </c>
      <c r="Y4" s="7"/>
      <c r="Z4">
        <v>12.38</v>
      </c>
      <c r="AA4" s="7"/>
      <c r="AB4" s="7"/>
    </row>
    <row r="5" spans="1:28" x14ac:dyDescent="0.3">
      <c r="A5" s="19"/>
      <c r="B5" s="6" t="s">
        <v>43</v>
      </c>
      <c r="C5">
        <v>10.46</v>
      </c>
      <c r="D5">
        <v>9.43</v>
      </c>
      <c r="E5" s="7"/>
      <c r="F5">
        <v>11.44</v>
      </c>
      <c r="G5">
        <v>11.61</v>
      </c>
      <c r="H5">
        <v>13.53</v>
      </c>
      <c r="I5">
        <v>15.05</v>
      </c>
      <c r="J5" s="7"/>
      <c r="K5">
        <v>11.21</v>
      </c>
      <c r="L5" s="7"/>
      <c r="M5">
        <v>13.4</v>
      </c>
      <c r="N5" s="7"/>
      <c r="O5" s="7"/>
      <c r="P5">
        <v>14.84</v>
      </c>
      <c r="Q5">
        <v>8.58</v>
      </c>
      <c r="R5" s="7"/>
      <c r="S5">
        <v>5.01</v>
      </c>
      <c r="T5">
        <v>11.44</v>
      </c>
      <c r="U5">
        <v>14.77</v>
      </c>
      <c r="V5">
        <v>8.32</v>
      </c>
      <c r="W5" s="7"/>
      <c r="X5">
        <v>8.49</v>
      </c>
      <c r="Y5" s="7"/>
      <c r="Z5">
        <v>7.58</v>
      </c>
      <c r="AA5" s="7"/>
      <c r="AB5" s="7"/>
    </row>
    <row r="6" spans="1:28" x14ac:dyDescent="0.3">
      <c r="A6" s="19"/>
      <c r="B6" s="4" t="s">
        <v>25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x14ac:dyDescent="0.3">
      <c r="A7" s="19" t="s">
        <v>38</v>
      </c>
      <c r="B7" s="6" t="s">
        <v>44</v>
      </c>
      <c r="C7">
        <v>11.51</v>
      </c>
      <c r="D7">
        <v>7.02</v>
      </c>
      <c r="E7" s="7"/>
      <c r="F7">
        <v>11.76</v>
      </c>
      <c r="G7">
        <v>5.03</v>
      </c>
      <c r="H7">
        <v>12.03</v>
      </c>
      <c r="I7">
        <v>13.39</v>
      </c>
      <c r="J7" s="7"/>
      <c r="K7">
        <v>11.72</v>
      </c>
      <c r="L7" s="7"/>
      <c r="M7">
        <v>15.35</v>
      </c>
      <c r="N7" s="7"/>
      <c r="O7" s="7"/>
      <c r="P7">
        <v>8.07</v>
      </c>
      <c r="Q7">
        <v>11.73</v>
      </c>
      <c r="R7" s="7"/>
      <c r="S7">
        <v>7.6899999999999995</v>
      </c>
      <c r="T7">
        <v>15.25</v>
      </c>
      <c r="U7">
        <v>10.27</v>
      </c>
      <c r="V7">
        <v>13.29</v>
      </c>
      <c r="W7" s="7"/>
      <c r="X7">
        <v>13.07</v>
      </c>
      <c r="Y7" s="7"/>
      <c r="Z7">
        <v>9.17</v>
      </c>
      <c r="AA7" s="7"/>
      <c r="AB7" s="7"/>
    </row>
    <row r="8" spans="1:28" x14ac:dyDescent="0.3">
      <c r="A8" s="19"/>
      <c r="B8" s="6" t="s">
        <v>45</v>
      </c>
      <c r="C8">
        <v>6.47</v>
      </c>
      <c r="D8">
        <v>13.91</v>
      </c>
      <c r="E8" s="7"/>
      <c r="F8">
        <v>5.43</v>
      </c>
      <c r="G8">
        <v>15.02</v>
      </c>
      <c r="H8">
        <v>9.11</v>
      </c>
      <c r="I8">
        <v>13.48</v>
      </c>
      <c r="J8" s="7"/>
      <c r="K8">
        <v>8.86</v>
      </c>
      <c r="L8" s="7"/>
      <c r="M8">
        <v>6.84</v>
      </c>
      <c r="N8" s="7"/>
      <c r="O8" s="7"/>
      <c r="P8">
        <v>14.34</v>
      </c>
      <c r="Q8">
        <v>14.45</v>
      </c>
      <c r="R8" s="7"/>
      <c r="S8">
        <v>6.12</v>
      </c>
      <c r="T8">
        <v>10.42</v>
      </c>
      <c r="U8">
        <v>12.85</v>
      </c>
      <c r="V8">
        <v>12.72</v>
      </c>
      <c r="W8" s="7"/>
      <c r="X8">
        <v>13.17</v>
      </c>
      <c r="Y8" s="7"/>
      <c r="Z8">
        <v>11.35</v>
      </c>
      <c r="AA8" s="7"/>
      <c r="AB8" s="7"/>
    </row>
    <row r="9" spans="1:28" x14ac:dyDescent="0.3">
      <c r="A9" s="19"/>
      <c r="B9" s="4" t="s">
        <v>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9" t="s">
        <v>39</v>
      </c>
      <c r="B10" s="6" t="s">
        <v>46</v>
      </c>
      <c r="C10">
        <v>11.23</v>
      </c>
      <c r="D10">
        <v>13.22</v>
      </c>
      <c r="E10" s="7"/>
      <c r="F10">
        <v>12.43</v>
      </c>
      <c r="G10">
        <v>6.44</v>
      </c>
      <c r="H10">
        <v>10.79</v>
      </c>
      <c r="I10">
        <v>6.65</v>
      </c>
      <c r="J10" s="7"/>
      <c r="K10">
        <v>11.98</v>
      </c>
      <c r="L10" s="7"/>
      <c r="M10">
        <v>10.44</v>
      </c>
      <c r="N10" s="7"/>
      <c r="O10" s="7"/>
      <c r="P10">
        <v>11.98</v>
      </c>
      <c r="Q10">
        <v>13.2</v>
      </c>
      <c r="R10" s="7"/>
      <c r="S10">
        <v>10.34</v>
      </c>
      <c r="T10">
        <v>15.76</v>
      </c>
      <c r="U10">
        <v>12.82</v>
      </c>
      <c r="V10">
        <v>13.09</v>
      </c>
      <c r="W10" s="7"/>
      <c r="X10">
        <v>15.76</v>
      </c>
      <c r="Y10" s="7"/>
      <c r="Z10">
        <v>6.3</v>
      </c>
      <c r="AA10" s="7"/>
      <c r="AB10" s="7"/>
    </row>
    <row r="11" spans="1:28" x14ac:dyDescent="0.3">
      <c r="A11" s="19"/>
      <c r="B11" s="6" t="s">
        <v>47</v>
      </c>
      <c r="C11">
        <v>15.5</v>
      </c>
      <c r="D11">
        <v>14.7</v>
      </c>
      <c r="E11" s="7"/>
      <c r="F11">
        <v>5.68</v>
      </c>
      <c r="G11">
        <v>14.94</v>
      </c>
      <c r="H11">
        <v>5.8</v>
      </c>
      <c r="I11">
        <v>9.6300000000000008</v>
      </c>
      <c r="J11" s="7"/>
      <c r="K11">
        <v>9.09</v>
      </c>
      <c r="L11" s="7"/>
      <c r="M11">
        <v>6.52</v>
      </c>
      <c r="N11" s="7"/>
      <c r="O11" s="7"/>
      <c r="P11">
        <v>12.18</v>
      </c>
      <c r="Q11">
        <v>9.83</v>
      </c>
      <c r="R11" s="7"/>
      <c r="S11">
        <v>13.54</v>
      </c>
      <c r="T11">
        <v>7.66</v>
      </c>
      <c r="U11">
        <v>13.51</v>
      </c>
      <c r="V11">
        <v>6.24</v>
      </c>
      <c r="W11" s="7"/>
      <c r="X11">
        <v>8.81</v>
      </c>
      <c r="Y11" s="7"/>
      <c r="Z11">
        <v>13.25</v>
      </c>
      <c r="AA11" s="7"/>
      <c r="AB11" s="7"/>
    </row>
    <row r="12" spans="1:28" x14ac:dyDescent="0.3">
      <c r="A12" s="19"/>
      <c r="B12" s="4" t="s">
        <v>27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9" t="s">
        <v>40</v>
      </c>
      <c r="B13" s="6" t="s">
        <v>48</v>
      </c>
      <c r="C13">
        <v>7.88</v>
      </c>
      <c r="D13">
        <v>12.98</v>
      </c>
      <c r="E13" s="7"/>
      <c r="F13">
        <v>15.82</v>
      </c>
      <c r="G13">
        <v>12.23</v>
      </c>
      <c r="H13">
        <v>11.84</v>
      </c>
      <c r="I13">
        <v>6.89</v>
      </c>
      <c r="J13" s="7"/>
      <c r="K13">
        <v>11.64</v>
      </c>
      <c r="L13" s="7"/>
      <c r="M13">
        <v>15.89</v>
      </c>
      <c r="N13" s="7"/>
      <c r="O13" s="7"/>
      <c r="P13">
        <v>12.09</v>
      </c>
      <c r="Q13">
        <v>9.3699999999999992</v>
      </c>
      <c r="R13" s="7"/>
      <c r="S13">
        <v>5.23</v>
      </c>
      <c r="T13">
        <v>10.67</v>
      </c>
      <c r="U13">
        <v>9.73</v>
      </c>
      <c r="V13">
        <v>10.95</v>
      </c>
      <c r="W13" s="7"/>
      <c r="X13">
        <v>15.54</v>
      </c>
      <c r="Y13" s="7"/>
      <c r="Z13">
        <v>13.21</v>
      </c>
      <c r="AA13" s="7"/>
      <c r="AB13" s="7"/>
    </row>
    <row r="14" spans="1:28" x14ac:dyDescent="0.3">
      <c r="A14" s="19"/>
      <c r="B14" s="4" t="s">
        <v>28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7" t="s">
        <v>41</v>
      </c>
      <c r="B15" s="6" t="s">
        <v>49</v>
      </c>
      <c r="C15">
        <v>10.89</v>
      </c>
      <c r="D15">
        <v>6.09</v>
      </c>
      <c r="E15" s="7"/>
      <c r="F15">
        <v>13.65</v>
      </c>
      <c r="G15">
        <v>7.05</v>
      </c>
      <c r="H15">
        <v>6.58</v>
      </c>
      <c r="I15">
        <v>14.86</v>
      </c>
      <c r="J15" s="7"/>
      <c r="K15">
        <v>9.86</v>
      </c>
      <c r="L15" s="7"/>
      <c r="M15">
        <v>5.74</v>
      </c>
      <c r="N15" s="7"/>
      <c r="O15" s="7"/>
      <c r="P15">
        <v>5.4</v>
      </c>
      <c r="Q15">
        <v>14.85</v>
      </c>
      <c r="R15" s="7"/>
      <c r="S15">
        <v>13.7</v>
      </c>
      <c r="T15">
        <v>11.49</v>
      </c>
      <c r="U15">
        <v>11.62</v>
      </c>
      <c r="V15">
        <v>10.28</v>
      </c>
      <c r="W15" s="7"/>
      <c r="X15">
        <v>7.62</v>
      </c>
      <c r="Y15" s="7"/>
      <c r="Z15">
        <v>9.5299999999999994</v>
      </c>
      <c r="AA15" s="7"/>
      <c r="AB15" s="7"/>
    </row>
    <row r="16" spans="1:28" x14ac:dyDescent="0.3">
      <c r="A16" s="17"/>
      <c r="B16" s="5" t="s">
        <v>29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6" t="s">
        <v>34</v>
      </c>
      <c r="B17" s="1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</row>
  </sheetData>
  <mergeCells count="18">
    <mergeCell ref="A15:A16"/>
    <mergeCell ref="A17:B17"/>
    <mergeCell ref="Z2:AA2"/>
    <mergeCell ref="AB2:AB3"/>
    <mergeCell ref="A4:A6"/>
    <mergeCell ref="A7:A9"/>
    <mergeCell ref="A10:A12"/>
    <mergeCell ref="A13:A14"/>
    <mergeCell ref="C1:O1"/>
    <mergeCell ref="P1:AB1"/>
    <mergeCell ref="C2:E2"/>
    <mergeCell ref="F2:J2"/>
    <mergeCell ref="K2:L2"/>
    <mergeCell ref="M2:N2"/>
    <mergeCell ref="O2:O3"/>
    <mergeCell ref="P2:R2"/>
    <mergeCell ref="S2:W2"/>
    <mergeCell ref="X2:Y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B17"/>
  <sheetViews>
    <sheetView zoomScale="75" zoomScaleNormal="75" workbookViewId="0">
      <selection activeCell="P2" sqref="P2:R2"/>
    </sheetView>
  </sheetViews>
  <sheetFormatPr defaultRowHeight="14.4" x14ac:dyDescent="0.3"/>
  <cols>
    <col min="1" max="1" width="10.33203125" bestFit="1" customWidth="1"/>
    <col min="2" max="2" width="29" bestFit="1" customWidth="1"/>
    <col min="3" max="3" width="10.33203125" bestFit="1" customWidth="1"/>
    <col min="4" max="4" width="13" bestFit="1" customWidth="1"/>
    <col min="5" max="5" width="27.5546875" bestFit="1" customWidth="1"/>
    <col min="6" max="6" width="9" bestFit="1" customWidth="1"/>
    <col min="7" max="8" width="9.33203125" bestFit="1" customWidth="1"/>
    <col min="9" max="9" width="12.5546875" bestFit="1" customWidth="1"/>
    <col min="10" max="10" width="22.88671875" bestFit="1" customWidth="1"/>
    <col min="11" max="11" width="9.44140625" bestFit="1" customWidth="1"/>
    <col min="12" max="12" width="31.33203125" bestFit="1" customWidth="1"/>
    <col min="13" max="13" width="9.33203125" bestFit="1" customWidth="1"/>
    <col min="14" max="14" width="27.5546875" bestFit="1" customWidth="1"/>
    <col min="15" max="15" width="19.6640625" bestFit="1" customWidth="1"/>
    <col min="16" max="16" width="10.33203125" bestFit="1" customWidth="1"/>
    <col min="17" max="17" width="13" bestFit="1" customWidth="1"/>
    <col min="18" max="18" width="27.5546875" bestFit="1" customWidth="1"/>
    <col min="19" max="19" width="9" bestFit="1" customWidth="1"/>
    <col min="20" max="21" width="9.33203125" bestFit="1" customWidth="1"/>
    <col min="22" max="22" width="12.5546875" bestFit="1" customWidth="1"/>
    <col min="23" max="23" width="22.88671875" bestFit="1" customWidth="1"/>
    <col min="24" max="24" width="9.44140625" bestFit="1" customWidth="1"/>
    <col min="25" max="25" width="31.33203125" bestFit="1" customWidth="1"/>
    <col min="26" max="26" width="9.33203125" bestFit="1" customWidth="1"/>
    <col min="27" max="27" width="27.5546875" bestFit="1" customWidth="1"/>
    <col min="28" max="28" width="19.6640625" bestFit="1" customWidth="1"/>
  </cols>
  <sheetData>
    <row r="1" spans="1:28" x14ac:dyDescent="0.3">
      <c r="A1" s="2"/>
      <c r="B1" s="2"/>
      <c r="C1" s="18">
        <v>2017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>
        <v>2018</v>
      </c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x14ac:dyDescent="0.3">
      <c r="A2" s="2"/>
      <c r="B2" s="2"/>
      <c r="C2" s="15" t="s">
        <v>50</v>
      </c>
      <c r="D2" s="15"/>
      <c r="E2" s="15"/>
      <c r="F2" s="15" t="s">
        <v>61</v>
      </c>
      <c r="G2" s="15"/>
      <c r="H2" s="15"/>
      <c r="I2" s="15"/>
      <c r="J2" s="15"/>
      <c r="K2" s="15" t="s">
        <v>58</v>
      </c>
      <c r="L2" s="15"/>
      <c r="M2" s="15" t="s">
        <v>59</v>
      </c>
      <c r="N2" s="15"/>
      <c r="O2" s="15" t="s">
        <v>35</v>
      </c>
      <c r="P2" s="15" t="s">
        <v>50</v>
      </c>
      <c r="Q2" s="15"/>
      <c r="R2" s="15"/>
      <c r="S2" s="15" t="s">
        <v>61</v>
      </c>
      <c r="T2" s="15"/>
      <c r="U2" s="15"/>
      <c r="V2" s="15"/>
      <c r="W2" s="15"/>
      <c r="X2" s="15" t="s">
        <v>58</v>
      </c>
      <c r="Y2" s="15"/>
      <c r="Z2" s="15" t="s">
        <v>59</v>
      </c>
      <c r="AA2" s="15"/>
      <c r="AB2" s="15" t="s">
        <v>35</v>
      </c>
    </row>
    <row r="3" spans="1:28" x14ac:dyDescent="0.3">
      <c r="A3" s="2"/>
      <c r="B3" s="2"/>
      <c r="C3" s="8" t="s">
        <v>51</v>
      </c>
      <c r="D3" s="8" t="s">
        <v>52</v>
      </c>
      <c r="E3" s="3" t="s">
        <v>30</v>
      </c>
      <c r="F3" s="8" t="s">
        <v>53</v>
      </c>
      <c r="G3" s="8" t="s">
        <v>54</v>
      </c>
      <c r="H3" s="8" t="s">
        <v>55</v>
      </c>
      <c r="I3" s="8" t="s">
        <v>56</v>
      </c>
      <c r="J3" s="3" t="s">
        <v>31</v>
      </c>
      <c r="K3" s="8" t="s">
        <v>57</v>
      </c>
      <c r="L3" s="3" t="s">
        <v>32</v>
      </c>
      <c r="M3" s="8" t="s">
        <v>60</v>
      </c>
      <c r="N3" s="3" t="s">
        <v>33</v>
      </c>
      <c r="O3" s="15"/>
      <c r="P3" s="8" t="s">
        <v>51</v>
      </c>
      <c r="Q3" s="8" t="s">
        <v>52</v>
      </c>
      <c r="R3" s="3" t="s">
        <v>30</v>
      </c>
      <c r="S3" s="8" t="s">
        <v>53</v>
      </c>
      <c r="T3" s="8" t="s">
        <v>54</v>
      </c>
      <c r="U3" s="8" t="s">
        <v>55</v>
      </c>
      <c r="V3" s="8" t="s">
        <v>56</v>
      </c>
      <c r="W3" s="3" t="s">
        <v>31</v>
      </c>
      <c r="X3" s="8" t="s">
        <v>57</v>
      </c>
      <c r="Y3" s="3" t="s">
        <v>32</v>
      </c>
      <c r="Z3" s="8" t="s">
        <v>60</v>
      </c>
      <c r="AA3" s="3" t="s">
        <v>33</v>
      </c>
      <c r="AB3" s="15"/>
    </row>
    <row r="4" spans="1:28" x14ac:dyDescent="0.3">
      <c r="A4" s="19" t="s">
        <v>37</v>
      </c>
      <c r="B4" s="6" t="s">
        <v>42</v>
      </c>
      <c r="C4" s="1">
        <f>'Sold units'!C4*'Price value'!C4</f>
        <v>3717.9</v>
      </c>
      <c r="D4" s="1">
        <f>'Sold units'!D4*'Price value'!D4</f>
        <v>8089.68</v>
      </c>
      <c r="E4" s="7">
        <f>SUM(C4:D4)</f>
        <v>11807.58</v>
      </c>
      <c r="F4" s="1">
        <f>'Sold units'!F4*'Price value'!F4</f>
        <v>1984.45</v>
      </c>
      <c r="G4" s="1">
        <f>'Sold units'!G4*'Price value'!G4</f>
        <v>1703.44</v>
      </c>
      <c r="H4" s="1">
        <f>'Sold units'!H4*'Price value'!H4</f>
        <v>9790.9</v>
      </c>
      <c r="I4" s="1">
        <f>'Sold units'!I4*'Price value'!I4</f>
        <v>1064.1400000000001</v>
      </c>
      <c r="J4" s="7">
        <f>SUM(F4:I4)</f>
        <v>14542.93</v>
      </c>
      <c r="K4" s="1">
        <f>'Sold units'!K4*'Price value'!K4</f>
        <v>10307.780000000001</v>
      </c>
      <c r="L4" s="7">
        <f>SUM(K4)</f>
        <v>10307.780000000001</v>
      </c>
      <c r="M4" s="1">
        <f>'Sold units'!M4*'Price value'!M4</f>
        <v>2621.6</v>
      </c>
      <c r="N4" s="7">
        <f>SUM(M4)</f>
        <v>2621.6</v>
      </c>
      <c r="O4" s="7">
        <f>SUM(N4,L4,J4,E4)</f>
        <v>39279.89</v>
      </c>
      <c r="P4" s="1">
        <f>'Sold units'!P4*'Price value'!P4</f>
        <v>12417.02</v>
      </c>
      <c r="Q4" s="1">
        <f>'Sold units'!Q4*'Price value'!Q4</f>
        <v>6391.2800000000007</v>
      </c>
      <c r="R4" s="7">
        <f>SUM(P4:Q4)</f>
        <v>18808.300000000003</v>
      </c>
      <c r="S4" s="1"/>
      <c r="T4" s="1">
        <f>'Sold units'!T4*'Price value'!T4</f>
        <v>835.5</v>
      </c>
      <c r="U4" s="1">
        <f>'Sold units'!U4*'Price value'!U4</f>
        <v>1702.5</v>
      </c>
      <c r="V4" s="1">
        <f>'Sold units'!V4*'Price value'!V4</f>
        <v>1750.17</v>
      </c>
      <c r="W4" s="7">
        <f>SUM(S4:V4)</f>
        <v>4288.17</v>
      </c>
      <c r="X4" s="1">
        <f>'Sold units'!X4*'Price value'!X4</f>
        <v>6637.0499999999993</v>
      </c>
      <c r="Y4" s="7">
        <f>SUM(X4)</f>
        <v>6637.0499999999993</v>
      </c>
      <c r="Z4" s="1">
        <f>'Sold units'!Z4*'Price value'!Z4</f>
        <v>2537.9</v>
      </c>
      <c r="AA4" s="7">
        <f>SUM(Z4)</f>
        <v>2537.9</v>
      </c>
      <c r="AB4" s="7">
        <f>SUM(AA4,Y4,W4,R4)</f>
        <v>32271.420000000002</v>
      </c>
    </row>
    <row r="5" spans="1:28" x14ac:dyDescent="0.3">
      <c r="A5" s="19"/>
      <c r="B5" s="6" t="s">
        <v>43</v>
      </c>
      <c r="C5" s="1">
        <f>'Sold units'!C5*'Price value'!C5</f>
        <v>3671.4600000000005</v>
      </c>
      <c r="D5" s="1">
        <f>'Sold units'!D5*'Price value'!D5</f>
        <v>3441.95</v>
      </c>
      <c r="E5" s="7">
        <f t="shared" ref="E5:E17" si="0">SUM(C5:D5)</f>
        <v>7113.41</v>
      </c>
      <c r="F5" s="1">
        <f>'Sold units'!F5*'Price value'!F5</f>
        <v>1818.9599999999998</v>
      </c>
      <c r="G5" s="1">
        <f>'Sold units'!G5*'Price value'!G5</f>
        <v>2995.3799999999997</v>
      </c>
      <c r="H5" s="1">
        <f>'Sold units'!H5*'Price value'!H5</f>
        <v>8591.5499999999993</v>
      </c>
      <c r="I5" s="1">
        <f>'Sold units'!I5*'Price value'!I5</f>
        <v>4891.25</v>
      </c>
      <c r="J5" s="7">
        <f t="shared" ref="J5:J17" si="1">SUM(F5:I5)</f>
        <v>18297.14</v>
      </c>
      <c r="K5" s="1">
        <f>'Sold units'!K5*'Price value'!K5</f>
        <v>6367.2800000000007</v>
      </c>
      <c r="L5" s="7">
        <f t="shared" ref="L5:L17" si="2">SUM(K5)</f>
        <v>6367.2800000000007</v>
      </c>
      <c r="M5" s="1">
        <f>'Sold units'!M5*'Price value'!M5</f>
        <v>5708.4000000000005</v>
      </c>
      <c r="N5" s="7">
        <f t="shared" ref="N5:N17" si="3">SUM(M5)</f>
        <v>5708.4000000000005</v>
      </c>
      <c r="O5" s="7">
        <f t="shared" ref="O5:O17" si="4">SUM(N5,L5,J5,E5)</f>
        <v>37486.229999999996</v>
      </c>
      <c r="P5" s="1">
        <f>'Sold units'!P5*'Price value'!P5</f>
        <v>2285.36</v>
      </c>
      <c r="Q5" s="1">
        <f>'Sold units'!Q5*'Price value'!Q5</f>
        <v>2024.88</v>
      </c>
      <c r="R5" s="7">
        <f t="shared" ref="R5:R17" si="5">SUM(P5:Q5)</f>
        <v>4310.24</v>
      </c>
      <c r="S5" s="1"/>
      <c r="T5" s="1">
        <f>'Sold units'!T5*'Price value'!T5</f>
        <v>7436</v>
      </c>
      <c r="U5" s="1">
        <f>'Sold units'!U5*'Price value'!U5</f>
        <v>2318.89</v>
      </c>
      <c r="V5" s="1">
        <f>'Sold units'!V5*'Price value'!V5</f>
        <v>873.6</v>
      </c>
      <c r="W5" s="7">
        <f t="shared" ref="W5:W17" si="6">SUM(S5:V5)</f>
        <v>10628.49</v>
      </c>
      <c r="X5" s="1">
        <f>'Sold units'!X5*'Price value'!X5</f>
        <v>1655.55</v>
      </c>
      <c r="Y5" s="7">
        <f t="shared" ref="Y5:Y17" si="7">SUM(X5)</f>
        <v>1655.55</v>
      </c>
      <c r="Z5" s="1">
        <f>'Sold units'!Z5*'Price value'!Z5</f>
        <v>4578.32</v>
      </c>
      <c r="AA5" s="7">
        <f t="shared" ref="AA5:AA17" si="8">SUM(Z5)</f>
        <v>4578.32</v>
      </c>
      <c r="AB5" s="7">
        <f t="shared" ref="AB5:AB17" si="9">SUM(AA5,Y5,W5,R5)</f>
        <v>21172.6</v>
      </c>
    </row>
    <row r="6" spans="1:28" x14ac:dyDescent="0.3">
      <c r="A6" s="19"/>
      <c r="B6" s="4" t="s">
        <v>25</v>
      </c>
      <c r="C6" s="7">
        <f>SUM(C4:C5)</f>
        <v>7389.3600000000006</v>
      </c>
      <c r="D6" s="7">
        <f>SUM(D4:D5)</f>
        <v>11531.630000000001</v>
      </c>
      <c r="E6" s="7">
        <f t="shared" si="0"/>
        <v>18920.990000000002</v>
      </c>
      <c r="F6" s="7">
        <f t="shared" ref="F6:M6" si="10">SUM(F4:F5)</f>
        <v>3803.41</v>
      </c>
      <c r="G6" s="7">
        <f t="shared" si="10"/>
        <v>4698.82</v>
      </c>
      <c r="H6" s="7">
        <f t="shared" si="10"/>
        <v>18382.449999999997</v>
      </c>
      <c r="I6" s="7">
        <f t="shared" si="10"/>
        <v>5955.39</v>
      </c>
      <c r="J6" s="7">
        <f t="shared" si="1"/>
        <v>32840.07</v>
      </c>
      <c r="K6" s="7">
        <f t="shared" si="10"/>
        <v>16675.060000000001</v>
      </c>
      <c r="L6" s="7">
        <f t="shared" si="2"/>
        <v>16675.060000000001</v>
      </c>
      <c r="M6" s="7">
        <f t="shared" si="10"/>
        <v>8330</v>
      </c>
      <c r="N6" s="7">
        <f t="shared" si="3"/>
        <v>8330</v>
      </c>
      <c r="O6" s="7">
        <f t="shared" si="4"/>
        <v>76766.12000000001</v>
      </c>
      <c r="P6" s="7">
        <f t="shared" ref="P6:Q6" si="11">SUM(P4:P5)</f>
        <v>14702.380000000001</v>
      </c>
      <c r="Q6" s="7">
        <f t="shared" si="11"/>
        <v>8416.16</v>
      </c>
      <c r="R6" s="7">
        <f t="shared" si="5"/>
        <v>23118.54</v>
      </c>
      <c r="S6" s="7">
        <f t="shared" ref="S6:V6" si="12">SUM(S4:S5)</f>
        <v>0</v>
      </c>
      <c r="T6" s="7">
        <f t="shared" si="12"/>
        <v>8271.5</v>
      </c>
      <c r="U6" s="7">
        <f t="shared" si="12"/>
        <v>4021.39</v>
      </c>
      <c r="V6" s="7">
        <f t="shared" si="12"/>
        <v>2623.77</v>
      </c>
      <c r="W6" s="7">
        <f t="shared" si="6"/>
        <v>14916.66</v>
      </c>
      <c r="X6" s="7">
        <f t="shared" ref="X6" si="13">SUM(X4:X5)</f>
        <v>8292.5999999999985</v>
      </c>
      <c r="Y6" s="7">
        <f t="shared" si="7"/>
        <v>8292.5999999999985</v>
      </c>
      <c r="Z6" s="7">
        <f t="shared" ref="Z6" si="14">SUM(Z4:Z5)</f>
        <v>7116.2199999999993</v>
      </c>
      <c r="AA6" s="7">
        <f t="shared" si="8"/>
        <v>7116.2199999999993</v>
      </c>
      <c r="AB6" s="7">
        <f t="shared" si="9"/>
        <v>53444.02</v>
      </c>
    </row>
    <row r="7" spans="1:28" x14ac:dyDescent="0.3">
      <c r="A7" s="19" t="s">
        <v>38</v>
      </c>
      <c r="B7" s="6" t="s">
        <v>44</v>
      </c>
      <c r="C7" s="1">
        <f>'Sold units'!C7*'Price value'!C7</f>
        <v>2474.65</v>
      </c>
      <c r="D7" s="1">
        <f>'Sold units'!D7*'Price value'!D7</f>
        <v>1649.6999999999998</v>
      </c>
      <c r="E7" s="7">
        <f t="shared" si="0"/>
        <v>4124.3500000000004</v>
      </c>
      <c r="F7" s="1">
        <f>'Sold units'!F7*'Price value'!F7</f>
        <v>1846.32</v>
      </c>
      <c r="G7" s="1">
        <f>'Sold units'!G7*'Price value'!G7</f>
        <v>2872.13</v>
      </c>
      <c r="H7" s="1">
        <f>'Sold units'!H7*'Price value'!H7</f>
        <v>8360.85</v>
      </c>
      <c r="I7" s="1">
        <f>'Sold units'!I7*'Price value'!I7</f>
        <v>2062.06</v>
      </c>
      <c r="J7" s="7">
        <f t="shared" si="1"/>
        <v>15141.359999999999</v>
      </c>
      <c r="K7" s="1">
        <f>'Sold units'!K7*'Price value'!K7</f>
        <v>1804.88</v>
      </c>
      <c r="L7" s="7">
        <f t="shared" si="2"/>
        <v>1804.88</v>
      </c>
      <c r="M7" s="1">
        <f>'Sold units'!M7*'Price value'!M7</f>
        <v>14782.05</v>
      </c>
      <c r="N7" s="7">
        <f t="shared" si="3"/>
        <v>14782.05</v>
      </c>
      <c r="O7" s="7">
        <f t="shared" si="4"/>
        <v>35852.639999999999</v>
      </c>
      <c r="P7" s="1">
        <f>'Sold units'!P7*'Price value'!P7</f>
        <v>1170.1500000000001</v>
      </c>
      <c r="Q7" s="1">
        <f>'Sold units'!Q7*'Price value'!Q7</f>
        <v>2510.2200000000003</v>
      </c>
      <c r="R7" s="7">
        <f t="shared" si="5"/>
        <v>3680.3700000000003</v>
      </c>
      <c r="S7" s="1"/>
      <c r="T7" s="1">
        <f>'Sold units'!T7*'Price value'!T7</f>
        <v>2379</v>
      </c>
      <c r="U7" s="1">
        <f>'Sold units'!U7*'Price value'!U7</f>
        <v>1571.31</v>
      </c>
      <c r="V7" s="1">
        <f>'Sold units'!V7*'Price value'!V7</f>
        <v>8744.82</v>
      </c>
      <c r="W7" s="7">
        <f t="shared" si="6"/>
        <v>12695.13</v>
      </c>
      <c r="X7" s="1">
        <f>'Sold units'!X7*'Price value'!X7</f>
        <v>5894.57</v>
      </c>
      <c r="Y7" s="7">
        <f t="shared" si="7"/>
        <v>5894.57</v>
      </c>
      <c r="Z7" s="1">
        <f>'Sold units'!Z7*'Price value'!Z7</f>
        <v>2292.5</v>
      </c>
      <c r="AA7" s="7">
        <f t="shared" si="8"/>
        <v>2292.5</v>
      </c>
      <c r="AB7" s="7">
        <f t="shared" si="9"/>
        <v>24562.569999999996</v>
      </c>
    </row>
    <row r="8" spans="1:28" x14ac:dyDescent="0.3">
      <c r="A8" s="19"/>
      <c r="B8" s="6" t="s">
        <v>45</v>
      </c>
      <c r="C8" s="1">
        <f>'Sold units'!C8*'Price value'!C8</f>
        <v>4231.38</v>
      </c>
      <c r="D8" s="1">
        <f>'Sold units'!D8*'Price value'!D8</f>
        <v>12157.34</v>
      </c>
      <c r="E8" s="7">
        <f t="shared" si="0"/>
        <v>16388.72</v>
      </c>
      <c r="F8" s="1">
        <f>'Sold units'!F8*'Price value'!F8</f>
        <v>2709.5699999999997</v>
      </c>
      <c r="G8" s="1">
        <f>'Sold units'!G8*'Price value'!G8</f>
        <v>8531.36</v>
      </c>
      <c r="H8" s="1">
        <f>'Sold units'!H8*'Price value'!H8</f>
        <v>3407.14</v>
      </c>
      <c r="I8" s="1">
        <f>'Sold units'!I8*'Price value'!I8</f>
        <v>7360.08</v>
      </c>
      <c r="J8" s="7">
        <f t="shared" si="1"/>
        <v>22008.15</v>
      </c>
      <c r="K8" s="1">
        <f>'Sold units'!K8*'Price value'!K8</f>
        <v>4917.2999999999993</v>
      </c>
      <c r="L8" s="7">
        <f t="shared" si="2"/>
        <v>4917.2999999999993</v>
      </c>
      <c r="M8" s="1">
        <f>'Sold units'!M8*'Price value'!M8</f>
        <v>2441.88</v>
      </c>
      <c r="N8" s="7">
        <f t="shared" si="3"/>
        <v>2441.88</v>
      </c>
      <c r="O8" s="7">
        <f t="shared" si="4"/>
        <v>45756.05</v>
      </c>
      <c r="P8" s="1">
        <f>'Sold units'!P8*'Price value'!P8</f>
        <v>9435.7199999999993</v>
      </c>
      <c r="Q8" s="1">
        <f>'Sold units'!Q8*'Price value'!Q8</f>
        <v>1806.25</v>
      </c>
      <c r="R8" s="7">
        <f t="shared" si="5"/>
        <v>11241.97</v>
      </c>
      <c r="S8" s="1"/>
      <c r="T8" s="1">
        <f>'Sold units'!T8*'Price value'!T8</f>
        <v>1563</v>
      </c>
      <c r="U8" s="1">
        <f>'Sold units'!U8*'Price value'!U8</f>
        <v>4613.1499999999996</v>
      </c>
      <c r="V8" s="1">
        <f>'Sold units'!V8*'Price value'!V8</f>
        <v>3408.96</v>
      </c>
      <c r="W8" s="7">
        <f t="shared" si="6"/>
        <v>9585.11</v>
      </c>
      <c r="X8" s="1">
        <f>'Sold units'!X8*'Price value'!X8</f>
        <v>8573.67</v>
      </c>
      <c r="Y8" s="7">
        <f t="shared" si="7"/>
        <v>8573.67</v>
      </c>
      <c r="Z8" s="1">
        <f>'Sold units'!Z8*'Price value'!Z8</f>
        <v>6810</v>
      </c>
      <c r="AA8" s="7">
        <f t="shared" si="8"/>
        <v>6810</v>
      </c>
      <c r="AB8" s="7">
        <f t="shared" si="9"/>
        <v>36210.75</v>
      </c>
    </row>
    <row r="9" spans="1:28" x14ac:dyDescent="0.3">
      <c r="A9" s="19"/>
      <c r="B9" s="4" t="s">
        <v>26</v>
      </c>
      <c r="C9" s="7">
        <f>SUM(C7:C8)</f>
        <v>6706.0300000000007</v>
      </c>
      <c r="D9" s="7">
        <f>SUM(D7:D8)</f>
        <v>13807.04</v>
      </c>
      <c r="E9" s="7">
        <f t="shared" si="0"/>
        <v>20513.07</v>
      </c>
      <c r="F9" s="7">
        <f t="shared" ref="F9:I9" si="15">SUM(F7:F8)</f>
        <v>4555.8899999999994</v>
      </c>
      <c r="G9" s="7">
        <f t="shared" si="15"/>
        <v>11403.490000000002</v>
      </c>
      <c r="H9" s="7">
        <f t="shared" si="15"/>
        <v>11767.99</v>
      </c>
      <c r="I9" s="7">
        <f t="shared" si="15"/>
        <v>9422.14</v>
      </c>
      <c r="J9" s="7">
        <f t="shared" si="1"/>
        <v>37149.51</v>
      </c>
      <c r="K9" s="7">
        <f t="shared" ref="K9" si="16">SUM(K7:K8)</f>
        <v>6722.1799999999994</v>
      </c>
      <c r="L9" s="7">
        <f t="shared" si="2"/>
        <v>6722.1799999999994</v>
      </c>
      <c r="M9" s="7">
        <f t="shared" ref="M9" si="17">SUM(M7:M8)</f>
        <v>17223.93</v>
      </c>
      <c r="N9" s="7">
        <f t="shared" si="3"/>
        <v>17223.93</v>
      </c>
      <c r="O9" s="7">
        <f t="shared" si="4"/>
        <v>81608.69</v>
      </c>
      <c r="P9" s="7">
        <f t="shared" ref="P9:Q9" si="18">SUM(P7:P8)</f>
        <v>10605.869999999999</v>
      </c>
      <c r="Q9" s="7">
        <f t="shared" si="18"/>
        <v>4316.47</v>
      </c>
      <c r="R9" s="7">
        <f t="shared" si="5"/>
        <v>14922.34</v>
      </c>
      <c r="S9" s="7">
        <f t="shared" ref="S9:V9" si="19">SUM(S7:S8)</f>
        <v>0</v>
      </c>
      <c r="T9" s="7">
        <f t="shared" si="19"/>
        <v>3942</v>
      </c>
      <c r="U9" s="7">
        <f t="shared" si="19"/>
        <v>6184.4599999999991</v>
      </c>
      <c r="V9" s="7">
        <f t="shared" si="19"/>
        <v>12153.779999999999</v>
      </c>
      <c r="W9" s="7">
        <f t="shared" si="6"/>
        <v>22280.239999999998</v>
      </c>
      <c r="X9" s="7">
        <f t="shared" ref="X9" si="20">SUM(X7:X8)</f>
        <v>14468.24</v>
      </c>
      <c r="Y9" s="7">
        <f t="shared" si="7"/>
        <v>14468.24</v>
      </c>
      <c r="Z9" s="7">
        <f t="shared" ref="Z9" si="21">SUM(Z7:Z8)</f>
        <v>9102.5</v>
      </c>
      <c r="AA9" s="7">
        <f t="shared" si="8"/>
        <v>9102.5</v>
      </c>
      <c r="AB9" s="7">
        <f t="shared" si="9"/>
        <v>60773.319999999992</v>
      </c>
    </row>
    <row r="10" spans="1:28" x14ac:dyDescent="0.3">
      <c r="A10" s="19" t="s">
        <v>39</v>
      </c>
      <c r="B10" s="6" t="s">
        <v>46</v>
      </c>
      <c r="C10" s="1">
        <f>'Sold units'!C10*'Price value'!C10</f>
        <v>10713.42</v>
      </c>
      <c r="D10" s="1">
        <f>'Sold units'!D10*'Price value'!D10</f>
        <v>4640.22</v>
      </c>
      <c r="E10" s="7">
        <f t="shared" si="0"/>
        <v>15353.64</v>
      </c>
      <c r="F10" s="1">
        <f>'Sold units'!F10*'Price value'!F10</f>
        <v>6811.6399999999994</v>
      </c>
      <c r="G10" s="1">
        <f>'Sold units'!G10*'Price value'!G10</f>
        <v>5441.8</v>
      </c>
      <c r="H10" s="1">
        <f>'Sold units'!H10*'Price value'!H10</f>
        <v>2675.9199999999996</v>
      </c>
      <c r="I10" s="1">
        <f>'Sold units'!I10*'Price value'!I10</f>
        <v>4555.25</v>
      </c>
      <c r="J10" s="7">
        <f t="shared" si="1"/>
        <v>19484.61</v>
      </c>
      <c r="K10" s="1">
        <f>'Sold units'!K10*'Price value'!K10</f>
        <v>6756.72</v>
      </c>
      <c r="L10" s="7">
        <f t="shared" si="2"/>
        <v>6756.72</v>
      </c>
      <c r="M10" s="1">
        <f>'Sold units'!M10*'Price value'!M10</f>
        <v>1659.9599999999998</v>
      </c>
      <c r="N10" s="7">
        <f t="shared" si="3"/>
        <v>1659.9599999999998</v>
      </c>
      <c r="O10" s="7">
        <f t="shared" si="4"/>
        <v>43254.93</v>
      </c>
      <c r="P10" s="1">
        <f>'Sold units'!P10*'Price value'!P10</f>
        <v>3090.84</v>
      </c>
      <c r="Q10" s="1">
        <f>'Sold units'!Q10*'Price value'!Q10</f>
        <v>3379.2</v>
      </c>
      <c r="R10" s="7">
        <f t="shared" si="5"/>
        <v>6470.04</v>
      </c>
      <c r="S10" s="1"/>
      <c r="T10" s="1">
        <f>'Sold units'!T10*'Price value'!T10</f>
        <v>2458.56</v>
      </c>
      <c r="U10" s="1">
        <f>'Sold units'!U10*'Price value'!U10</f>
        <v>3179.36</v>
      </c>
      <c r="V10" s="1">
        <f>'Sold units'!V10*'Price value'!V10</f>
        <v>6047.58</v>
      </c>
      <c r="W10" s="7">
        <f t="shared" si="6"/>
        <v>11685.5</v>
      </c>
      <c r="X10" s="1">
        <f>'Sold units'!X10*'Price value'!X10</f>
        <v>1607.52</v>
      </c>
      <c r="Y10" s="7">
        <f t="shared" si="7"/>
        <v>1607.52</v>
      </c>
      <c r="Z10" s="1">
        <f>'Sold units'!Z10*'Price value'!Z10</f>
        <v>5147.0999999999995</v>
      </c>
      <c r="AA10" s="7">
        <f t="shared" si="8"/>
        <v>5147.0999999999995</v>
      </c>
      <c r="AB10" s="7">
        <f t="shared" si="9"/>
        <v>24910.16</v>
      </c>
    </row>
    <row r="11" spans="1:28" x14ac:dyDescent="0.3">
      <c r="A11" s="19"/>
      <c r="B11" s="6" t="s">
        <v>47</v>
      </c>
      <c r="C11" s="1">
        <f>'Sold units'!C11*'Price value'!C11</f>
        <v>3937</v>
      </c>
      <c r="D11" s="1">
        <f>'Sold units'!D11*'Price value'!D11</f>
        <v>14023.8</v>
      </c>
      <c r="E11" s="7">
        <f t="shared" si="0"/>
        <v>17960.8</v>
      </c>
      <c r="F11" s="1">
        <f>'Sold units'!F11*'Price value'!F11</f>
        <v>4810.96</v>
      </c>
      <c r="G11" s="1">
        <f>'Sold units'!G11*'Price value'!G11</f>
        <v>3794.7599999999998</v>
      </c>
      <c r="H11" s="1">
        <f>'Sold units'!H11*'Price value'!H11</f>
        <v>841</v>
      </c>
      <c r="I11" s="1">
        <f>'Sold units'!I11*'Price value'!I11</f>
        <v>4410.54</v>
      </c>
      <c r="J11" s="7">
        <f t="shared" si="1"/>
        <v>13857.259999999998</v>
      </c>
      <c r="K11" s="1">
        <f>'Sold units'!K11*'Price value'!K11</f>
        <v>2336.13</v>
      </c>
      <c r="L11" s="7">
        <f t="shared" si="2"/>
        <v>2336.13</v>
      </c>
      <c r="M11" s="1">
        <f>'Sold units'!M11*'Price value'!M11</f>
        <v>4048.9199999999996</v>
      </c>
      <c r="N11" s="7">
        <f t="shared" si="3"/>
        <v>4048.9199999999996</v>
      </c>
      <c r="O11" s="7">
        <f t="shared" si="4"/>
        <v>38203.11</v>
      </c>
      <c r="P11" s="1">
        <f>'Sold units'!P11*'Price value'!P11</f>
        <v>8026.62</v>
      </c>
      <c r="Q11" s="1">
        <f>'Sold units'!Q11*'Price value'!Q11</f>
        <v>1425.35</v>
      </c>
      <c r="R11" s="7">
        <f t="shared" si="5"/>
        <v>9451.9699999999993</v>
      </c>
      <c r="S11" s="1"/>
      <c r="T11" s="1">
        <f>'Sold units'!T11*'Price value'!T11</f>
        <v>4144.0600000000004</v>
      </c>
      <c r="U11" s="1">
        <f>'Sold units'!U11*'Price value'!U11</f>
        <v>11429.46</v>
      </c>
      <c r="V11" s="1">
        <f>'Sold units'!V11*'Price value'!V11</f>
        <v>1647.3600000000001</v>
      </c>
      <c r="W11" s="7">
        <f t="shared" si="6"/>
        <v>17220.88</v>
      </c>
      <c r="X11" s="1">
        <f>'Sold units'!X11*'Price value'!X11</f>
        <v>4457.8600000000006</v>
      </c>
      <c r="Y11" s="7">
        <f t="shared" si="7"/>
        <v>4457.8600000000006</v>
      </c>
      <c r="Z11" s="1">
        <f>'Sold units'!Z11*'Price value'!Z11</f>
        <v>4240</v>
      </c>
      <c r="AA11" s="7">
        <f t="shared" si="8"/>
        <v>4240</v>
      </c>
      <c r="AB11" s="7">
        <f t="shared" si="9"/>
        <v>35370.71</v>
      </c>
    </row>
    <row r="12" spans="1:28" x14ac:dyDescent="0.3">
      <c r="A12" s="19"/>
      <c r="B12" s="4" t="s">
        <v>27</v>
      </c>
      <c r="C12" s="7">
        <f>SUM(C10:C11)</f>
        <v>14650.42</v>
      </c>
      <c r="D12" s="7">
        <f>SUM(D10:D11)</f>
        <v>18664.02</v>
      </c>
      <c r="E12" s="7">
        <f t="shared" si="0"/>
        <v>33314.44</v>
      </c>
      <c r="F12" s="7">
        <f t="shared" ref="F12:I12" si="22">SUM(F10:F11)</f>
        <v>11622.599999999999</v>
      </c>
      <c r="G12" s="7">
        <f t="shared" si="22"/>
        <v>9236.56</v>
      </c>
      <c r="H12" s="7">
        <f t="shared" si="22"/>
        <v>3516.9199999999996</v>
      </c>
      <c r="I12" s="7">
        <f t="shared" si="22"/>
        <v>8965.7900000000009</v>
      </c>
      <c r="J12" s="7">
        <f t="shared" si="1"/>
        <v>33341.869999999995</v>
      </c>
      <c r="K12" s="7">
        <f t="shared" ref="K12" si="23">SUM(K10:K11)</f>
        <v>9092.85</v>
      </c>
      <c r="L12" s="7">
        <f t="shared" si="2"/>
        <v>9092.85</v>
      </c>
      <c r="M12" s="7">
        <f t="shared" ref="M12" si="24">SUM(M10:M11)</f>
        <v>5708.8799999999992</v>
      </c>
      <c r="N12" s="7">
        <f t="shared" si="3"/>
        <v>5708.8799999999992</v>
      </c>
      <c r="O12" s="7">
        <f t="shared" si="4"/>
        <v>81458.039999999994</v>
      </c>
      <c r="P12" s="7">
        <f t="shared" ref="P12:Q12" si="25">SUM(P10:P11)</f>
        <v>11117.46</v>
      </c>
      <c r="Q12" s="7">
        <f t="shared" si="25"/>
        <v>4804.5499999999993</v>
      </c>
      <c r="R12" s="7">
        <f t="shared" si="5"/>
        <v>15922.009999999998</v>
      </c>
      <c r="S12" s="7">
        <f t="shared" ref="S12:V12" si="26">SUM(S10:S11)</f>
        <v>0</v>
      </c>
      <c r="T12" s="7">
        <f t="shared" si="26"/>
        <v>6602.6200000000008</v>
      </c>
      <c r="U12" s="7">
        <f t="shared" si="26"/>
        <v>14608.82</v>
      </c>
      <c r="V12" s="7">
        <f t="shared" si="26"/>
        <v>7694.9400000000005</v>
      </c>
      <c r="W12" s="7">
        <f t="shared" si="6"/>
        <v>28906.380000000005</v>
      </c>
      <c r="X12" s="7">
        <f t="shared" ref="X12" si="27">SUM(X10:X11)</f>
        <v>6065.380000000001</v>
      </c>
      <c r="Y12" s="7">
        <f t="shared" si="7"/>
        <v>6065.380000000001</v>
      </c>
      <c r="Z12" s="7">
        <f t="shared" ref="Z12" si="28">SUM(Z10:Z11)</f>
        <v>9387.0999999999985</v>
      </c>
      <c r="AA12" s="7">
        <f t="shared" si="8"/>
        <v>9387.0999999999985</v>
      </c>
      <c r="AB12" s="7">
        <f t="shared" si="9"/>
        <v>60280.869999999995</v>
      </c>
    </row>
    <row r="13" spans="1:28" x14ac:dyDescent="0.3">
      <c r="A13" s="19" t="s">
        <v>40</v>
      </c>
      <c r="B13" s="6" t="s">
        <v>48</v>
      </c>
      <c r="C13" s="1">
        <f>'Sold units'!C13*'Price value'!C13</f>
        <v>1977.8799999999999</v>
      </c>
      <c r="D13" s="1">
        <f>'Sold units'!D13*'Price value'!D13</f>
        <v>2790.7000000000003</v>
      </c>
      <c r="E13" s="7">
        <f t="shared" si="0"/>
        <v>4768.58</v>
      </c>
      <c r="F13" s="1">
        <f>'Sold units'!F13*'Price value'!F13</f>
        <v>2293.9</v>
      </c>
      <c r="G13" s="1">
        <f>'Sold units'!G13*'Price value'!G13</f>
        <v>10444.42</v>
      </c>
      <c r="H13" s="1">
        <f>'Sold units'!H13*'Price value'!H13</f>
        <v>11212.48</v>
      </c>
      <c r="I13" s="1">
        <f>'Sold units'!I13*'Price value'!I13</f>
        <v>4023.7599999999998</v>
      </c>
      <c r="J13" s="7">
        <f t="shared" si="1"/>
        <v>27974.559999999998</v>
      </c>
      <c r="K13" s="1">
        <f>'Sold units'!K13*'Price value'!K13</f>
        <v>9917.2800000000007</v>
      </c>
      <c r="L13" s="7">
        <f t="shared" si="2"/>
        <v>9917.2800000000007</v>
      </c>
      <c r="M13" s="1">
        <f>'Sold units'!M13*'Price value'!M13</f>
        <v>7706.6500000000005</v>
      </c>
      <c r="N13" s="7">
        <f t="shared" si="3"/>
        <v>7706.6500000000005</v>
      </c>
      <c r="O13" s="7">
        <f t="shared" si="4"/>
        <v>50367.07</v>
      </c>
      <c r="P13" s="1">
        <f>'Sold units'!P13*'Price value'!P13</f>
        <v>3941.34</v>
      </c>
      <c r="Q13" s="1">
        <f>'Sold units'!Q13*'Price value'!Q13</f>
        <v>1424.2399999999998</v>
      </c>
      <c r="R13" s="7">
        <f t="shared" si="5"/>
        <v>5365.58</v>
      </c>
      <c r="S13" s="1"/>
      <c r="T13" s="1">
        <f>'Sold units'!T13*'Price value'!T13</f>
        <v>7447.66</v>
      </c>
      <c r="U13" s="1">
        <f>'Sold units'!U13*'Price value'!U13</f>
        <v>5886.6500000000005</v>
      </c>
      <c r="V13" s="1">
        <f>'Sold units'!V13*'Price value'!V13</f>
        <v>10555.8</v>
      </c>
      <c r="W13" s="7">
        <f t="shared" si="6"/>
        <v>23890.11</v>
      </c>
      <c r="X13" s="1">
        <f>'Sold units'!X13*'Price value'!X13</f>
        <v>2175.6</v>
      </c>
      <c r="Y13" s="7">
        <f t="shared" si="7"/>
        <v>2175.6</v>
      </c>
      <c r="Z13" s="1">
        <f>'Sold units'!Z13*'Price value'!Z13</f>
        <v>6869.2000000000007</v>
      </c>
      <c r="AA13" s="7">
        <f t="shared" si="8"/>
        <v>6869.2000000000007</v>
      </c>
      <c r="AB13" s="7">
        <f t="shared" si="9"/>
        <v>38300.490000000005</v>
      </c>
    </row>
    <row r="14" spans="1:28" x14ac:dyDescent="0.3">
      <c r="A14" s="19"/>
      <c r="B14" s="4" t="s">
        <v>28</v>
      </c>
      <c r="C14" s="7">
        <f>SUM(C13)</f>
        <v>1977.8799999999999</v>
      </c>
      <c r="D14" s="7">
        <f>SUM(D13)</f>
        <v>2790.7000000000003</v>
      </c>
      <c r="E14" s="7">
        <f t="shared" si="0"/>
        <v>4768.58</v>
      </c>
      <c r="F14" s="7">
        <f t="shared" ref="F14:I14" si="29">SUM(F13)</f>
        <v>2293.9</v>
      </c>
      <c r="G14" s="7">
        <f t="shared" si="29"/>
        <v>10444.42</v>
      </c>
      <c r="H14" s="7">
        <f t="shared" si="29"/>
        <v>11212.48</v>
      </c>
      <c r="I14" s="7">
        <f t="shared" si="29"/>
        <v>4023.7599999999998</v>
      </c>
      <c r="J14" s="7">
        <f t="shared" si="1"/>
        <v>27974.559999999998</v>
      </c>
      <c r="K14" s="7">
        <f t="shared" ref="F14:M16" si="30">SUM(K13)</f>
        <v>9917.2800000000007</v>
      </c>
      <c r="L14" s="7">
        <f t="shared" si="2"/>
        <v>9917.2800000000007</v>
      </c>
      <c r="M14" s="7">
        <f t="shared" si="30"/>
        <v>7706.6500000000005</v>
      </c>
      <c r="N14" s="7">
        <f t="shared" si="3"/>
        <v>7706.6500000000005</v>
      </c>
      <c r="O14" s="7">
        <f t="shared" si="4"/>
        <v>50367.07</v>
      </c>
      <c r="P14" s="7">
        <f t="shared" ref="P14:Q14" si="31">SUM(P13)</f>
        <v>3941.34</v>
      </c>
      <c r="Q14" s="7">
        <f t="shared" si="31"/>
        <v>1424.2399999999998</v>
      </c>
      <c r="R14" s="7">
        <f t="shared" si="5"/>
        <v>5365.58</v>
      </c>
      <c r="S14" s="7">
        <f t="shared" ref="S14:V14" si="32">SUM(S13)</f>
        <v>0</v>
      </c>
      <c r="T14" s="7">
        <f t="shared" si="32"/>
        <v>7447.66</v>
      </c>
      <c r="U14" s="7">
        <f t="shared" si="32"/>
        <v>5886.6500000000005</v>
      </c>
      <c r="V14" s="7">
        <f t="shared" si="32"/>
        <v>10555.8</v>
      </c>
      <c r="W14" s="7">
        <f t="shared" si="6"/>
        <v>23890.11</v>
      </c>
      <c r="X14" s="7">
        <f t="shared" ref="X14" si="33">SUM(X13)</f>
        <v>2175.6</v>
      </c>
      <c r="Y14" s="7">
        <f t="shared" si="7"/>
        <v>2175.6</v>
      </c>
      <c r="Z14" s="7">
        <f t="shared" ref="Z14" si="34">SUM(Z13)</f>
        <v>6869.2000000000007</v>
      </c>
      <c r="AA14" s="7">
        <f t="shared" si="8"/>
        <v>6869.2000000000007</v>
      </c>
      <c r="AB14" s="7">
        <f t="shared" si="9"/>
        <v>38300.490000000005</v>
      </c>
    </row>
    <row r="15" spans="1:28" x14ac:dyDescent="0.3">
      <c r="A15" s="17" t="s">
        <v>41</v>
      </c>
      <c r="B15" s="6" t="s">
        <v>49</v>
      </c>
      <c r="C15" s="1">
        <f>'Sold units'!C15*'Price value'!C15</f>
        <v>5956.83</v>
      </c>
      <c r="D15" s="1">
        <f>'Sold units'!D15*'Price value'!D15</f>
        <v>1522.5</v>
      </c>
      <c r="E15" s="7">
        <f t="shared" si="0"/>
        <v>7479.33</v>
      </c>
      <c r="F15" s="1">
        <f>'Sold units'!F15*'Price value'!F15</f>
        <v>11657.1</v>
      </c>
      <c r="G15" s="1">
        <f>'Sold units'!G15*'Price value'!G15</f>
        <v>1085.7</v>
      </c>
      <c r="H15" s="1">
        <f>'Sold units'!H15*'Price value'!H15</f>
        <v>5632.4800000000005</v>
      </c>
      <c r="I15" s="1">
        <f>'Sold units'!I15*'Price value'!I15</f>
        <v>12690.439999999999</v>
      </c>
      <c r="J15" s="7">
        <f t="shared" si="1"/>
        <v>31065.72</v>
      </c>
      <c r="K15" s="1">
        <f>'Sold units'!K15*'Price value'!K15</f>
        <v>1449.4199999999998</v>
      </c>
      <c r="L15" s="7">
        <f t="shared" si="2"/>
        <v>1449.4199999999998</v>
      </c>
      <c r="M15" s="1">
        <f>'Sold units'!M15*'Price value'!M15</f>
        <v>958.58</v>
      </c>
      <c r="N15" s="7">
        <f t="shared" si="3"/>
        <v>958.58</v>
      </c>
      <c r="O15" s="7">
        <f t="shared" si="4"/>
        <v>40953.050000000003</v>
      </c>
      <c r="P15" s="1">
        <f>'Sold units'!P15*'Price value'!P15</f>
        <v>1371.6000000000001</v>
      </c>
      <c r="Q15" s="1">
        <f>'Sold units'!Q15*'Price value'!Q15</f>
        <v>3801.6</v>
      </c>
      <c r="R15" s="7">
        <f t="shared" si="5"/>
        <v>5173.2</v>
      </c>
      <c r="S15" s="1"/>
      <c r="T15" s="1">
        <f>'Sold units'!T15*'Price value'!T15</f>
        <v>6549.3</v>
      </c>
      <c r="U15" s="1">
        <f>'Sold units'!U15*'Price value'!U15</f>
        <v>1162</v>
      </c>
      <c r="V15" s="1">
        <f>'Sold units'!V15*'Price value'!V15</f>
        <v>1613.9599999999998</v>
      </c>
      <c r="W15" s="7">
        <f t="shared" si="6"/>
        <v>9325.26</v>
      </c>
      <c r="X15" s="1">
        <f>'Sold units'!X15*'Price value'!X15</f>
        <v>1592.58</v>
      </c>
      <c r="Y15" s="7">
        <f t="shared" si="7"/>
        <v>1592.58</v>
      </c>
      <c r="Z15" s="1">
        <f>'Sold units'!Z15*'Price value'!Z15</f>
        <v>5727.53</v>
      </c>
      <c r="AA15" s="7">
        <f t="shared" si="8"/>
        <v>5727.53</v>
      </c>
      <c r="AB15" s="7">
        <f t="shared" si="9"/>
        <v>21818.57</v>
      </c>
    </row>
    <row r="16" spans="1:28" x14ac:dyDescent="0.3">
      <c r="A16" s="17"/>
      <c r="B16" s="5" t="s">
        <v>29</v>
      </c>
      <c r="C16" s="7">
        <f>SUM(C15)</f>
        <v>5956.83</v>
      </c>
      <c r="D16" s="7">
        <f>SUM(D15)</f>
        <v>1522.5</v>
      </c>
      <c r="E16" s="7">
        <f t="shared" si="0"/>
        <v>7479.33</v>
      </c>
      <c r="F16" s="7">
        <f t="shared" si="30"/>
        <v>11657.1</v>
      </c>
      <c r="G16" s="7">
        <f t="shared" si="30"/>
        <v>1085.7</v>
      </c>
      <c r="H16" s="7">
        <f t="shared" si="30"/>
        <v>5632.4800000000005</v>
      </c>
      <c r="I16" s="7">
        <f t="shared" si="30"/>
        <v>12690.439999999999</v>
      </c>
      <c r="J16" s="7">
        <f t="shared" si="1"/>
        <v>31065.72</v>
      </c>
      <c r="K16" s="7">
        <f t="shared" si="30"/>
        <v>1449.4199999999998</v>
      </c>
      <c r="L16" s="7">
        <f t="shared" si="2"/>
        <v>1449.4199999999998</v>
      </c>
      <c r="M16" s="7">
        <f t="shared" si="30"/>
        <v>958.58</v>
      </c>
      <c r="N16" s="7">
        <f t="shared" si="3"/>
        <v>958.58</v>
      </c>
      <c r="O16" s="7">
        <f t="shared" si="4"/>
        <v>40953.050000000003</v>
      </c>
      <c r="P16" s="7">
        <f t="shared" ref="P16:Q16" si="35">SUM(P15)</f>
        <v>1371.6000000000001</v>
      </c>
      <c r="Q16" s="7">
        <f t="shared" si="35"/>
        <v>3801.6</v>
      </c>
      <c r="R16" s="7">
        <f t="shared" si="5"/>
        <v>5173.2</v>
      </c>
      <c r="S16" s="7">
        <f t="shared" ref="S16:V16" si="36">SUM(S15)</f>
        <v>0</v>
      </c>
      <c r="T16" s="7">
        <f t="shared" si="36"/>
        <v>6549.3</v>
      </c>
      <c r="U16" s="7">
        <f t="shared" si="36"/>
        <v>1162</v>
      </c>
      <c r="V16" s="7">
        <f t="shared" si="36"/>
        <v>1613.9599999999998</v>
      </c>
      <c r="W16" s="7">
        <f t="shared" si="6"/>
        <v>9325.26</v>
      </c>
      <c r="X16" s="7">
        <f t="shared" ref="X16" si="37">SUM(X15)</f>
        <v>1592.58</v>
      </c>
      <c r="Y16" s="7">
        <f t="shared" si="7"/>
        <v>1592.58</v>
      </c>
      <c r="Z16" s="7">
        <f t="shared" ref="Z16" si="38">SUM(Z15)</f>
        <v>5727.53</v>
      </c>
      <c r="AA16" s="7">
        <f t="shared" si="8"/>
        <v>5727.53</v>
      </c>
      <c r="AB16" s="7">
        <f t="shared" si="9"/>
        <v>21818.57</v>
      </c>
    </row>
    <row r="17" spans="1:28" x14ac:dyDescent="0.3">
      <c r="A17" s="16" t="s">
        <v>34</v>
      </c>
      <c r="B17" s="16"/>
      <c r="C17" s="7">
        <f>SUM(C16,C14,C12,C9,C6)</f>
        <v>36680.520000000004</v>
      </c>
      <c r="D17" s="7">
        <f>SUM(D16,D14,D12,D9,D6)</f>
        <v>48315.89</v>
      </c>
      <c r="E17" s="7">
        <f t="shared" si="0"/>
        <v>84996.41</v>
      </c>
      <c r="F17" s="7">
        <f>SUM(F16,F14,F12,F9,F6)</f>
        <v>33932.899999999994</v>
      </c>
      <c r="G17" s="7">
        <f>SUM(G16,G14,G12,G9,G6)</f>
        <v>36868.990000000005</v>
      </c>
      <c r="H17" s="7">
        <f>SUM(H16,H14,H12,H9,H6)</f>
        <v>50512.319999999992</v>
      </c>
      <c r="I17" s="7">
        <f>SUM(I16,I14,I12,I9,I6)</f>
        <v>41057.519999999997</v>
      </c>
      <c r="J17" s="7">
        <f t="shared" si="1"/>
        <v>162371.72999999998</v>
      </c>
      <c r="K17" s="7">
        <f>SUM(K16,K14,K12,K9,K6)</f>
        <v>43856.790000000008</v>
      </c>
      <c r="L17" s="7">
        <f t="shared" si="2"/>
        <v>43856.790000000008</v>
      </c>
      <c r="M17" s="7">
        <f>SUM(M16,M14,M12,M9,M6)</f>
        <v>39928.04</v>
      </c>
      <c r="N17" s="7">
        <f t="shared" si="3"/>
        <v>39928.04</v>
      </c>
      <c r="O17" s="7">
        <f t="shared" si="4"/>
        <v>331152.96999999997</v>
      </c>
      <c r="P17" s="7">
        <f>SUM(P16,P14,P12,P9,P6)</f>
        <v>41738.65</v>
      </c>
      <c r="Q17" s="7">
        <f>SUM(Q16,Q14,Q12,Q9,Q6)</f>
        <v>22763.02</v>
      </c>
      <c r="R17" s="7">
        <f t="shared" si="5"/>
        <v>64501.67</v>
      </c>
      <c r="S17" s="7">
        <f>SUM(S16,S14,S12,S9,S6)</f>
        <v>0</v>
      </c>
      <c r="T17" s="7">
        <f>SUM(T16,T14,T12,T9,T6)</f>
        <v>32813.08</v>
      </c>
      <c r="U17" s="7">
        <f>SUM(U16,U14,U12,U9,U6)</f>
        <v>31863.32</v>
      </c>
      <c r="V17" s="7">
        <f>SUM(V16,V14,V12,V9,V6)</f>
        <v>34642.249999999993</v>
      </c>
      <c r="W17" s="7">
        <f t="shared" si="6"/>
        <v>99318.65</v>
      </c>
      <c r="X17" s="7">
        <f>SUM(X16,X14,X12,X9,X6)</f>
        <v>32594.400000000001</v>
      </c>
      <c r="Y17" s="7">
        <f t="shared" si="7"/>
        <v>32594.400000000001</v>
      </c>
      <c r="Z17" s="7">
        <f>SUM(Z16,Z14,Z12,Z9,Z6)</f>
        <v>38202.549999999996</v>
      </c>
      <c r="AA17" s="7">
        <f t="shared" si="8"/>
        <v>38202.549999999996</v>
      </c>
      <c r="AB17" s="7">
        <f t="shared" si="9"/>
        <v>234617.26999999996</v>
      </c>
    </row>
  </sheetData>
  <mergeCells count="18">
    <mergeCell ref="A15:A16"/>
    <mergeCell ref="A17:B17"/>
    <mergeCell ref="Z2:AA2"/>
    <mergeCell ref="AB2:AB3"/>
    <mergeCell ref="A4:A6"/>
    <mergeCell ref="A7:A9"/>
    <mergeCell ref="A10:A12"/>
    <mergeCell ref="A13:A14"/>
    <mergeCell ref="C1:O1"/>
    <mergeCell ref="P1:AB1"/>
    <mergeCell ref="C2:E2"/>
    <mergeCell ref="F2:J2"/>
    <mergeCell ref="K2:L2"/>
    <mergeCell ref="M2:N2"/>
    <mergeCell ref="O2:O3"/>
    <mergeCell ref="P2:R2"/>
    <mergeCell ref="S2:W2"/>
    <mergeCell ref="X2:Y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C3"/>
  <sheetViews>
    <sheetView workbookViewId="0">
      <selection sqref="A1:C3"/>
    </sheetView>
  </sheetViews>
  <sheetFormatPr defaultRowHeight="14.4" x14ac:dyDescent="0.3"/>
  <cols>
    <col min="1" max="1" width="15.5546875" bestFit="1" customWidth="1"/>
    <col min="2" max="2" width="12.44140625" bestFit="1" customWidth="1"/>
    <col min="3" max="3" width="8.5546875" bestFit="1" customWidth="1"/>
  </cols>
  <sheetData>
    <row r="1" spans="1:3" x14ac:dyDescent="0.3">
      <c r="A1" s="9" t="s">
        <v>62</v>
      </c>
      <c r="B1" s="9" t="s">
        <v>63</v>
      </c>
      <c r="C1" s="9" t="s">
        <v>64</v>
      </c>
    </row>
    <row r="2" spans="1:3" x14ac:dyDescent="0.3">
      <c r="A2" t="s">
        <v>0</v>
      </c>
      <c r="B2" t="s">
        <v>65</v>
      </c>
      <c r="C2" s="13">
        <v>42736</v>
      </c>
    </row>
    <row r="3" spans="1:3" x14ac:dyDescent="0.3">
      <c r="A3" t="s">
        <v>36</v>
      </c>
      <c r="B3" t="s">
        <v>65</v>
      </c>
      <c r="C3" s="13">
        <v>43101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14"/>
  <sheetViews>
    <sheetView workbookViewId="0">
      <selection activeCell="A5" sqref="A5"/>
    </sheetView>
  </sheetViews>
  <sheetFormatPr defaultRowHeight="14.4" x14ac:dyDescent="0.3"/>
  <cols>
    <col min="1" max="1" width="31" bestFit="1" customWidth="1"/>
    <col min="2" max="2" width="18.5546875" bestFit="1" customWidth="1"/>
    <col min="3" max="3" width="31" bestFit="1" customWidth="1"/>
  </cols>
  <sheetData>
    <row r="1" spans="1:3" x14ac:dyDescent="0.3">
      <c r="A1" t="s">
        <v>62</v>
      </c>
      <c r="B1" t="s">
        <v>66</v>
      </c>
      <c r="C1" t="s">
        <v>67</v>
      </c>
    </row>
    <row r="2" spans="1:3" x14ac:dyDescent="0.3">
      <c r="A2" s="12" t="str">
        <f>toYID(CONCATENATE("product_",ProductsTable[[#This Row],[Name]]))</f>
        <v>PRODUCT_ALL</v>
      </c>
      <c r="B2" t="s">
        <v>68</v>
      </c>
    </row>
    <row r="3" spans="1:3" x14ac:dyDescent="0.3">
      <c r="A3" s="12" t="str">
        <f>toYID(CONCATENATE("product_",ProductsTable[[#This Row],[Name]]))</f>
        <v>PRODUCT_PROCESSED_CHEESE</v>
      </c>
      <c r="B3" t="s">
        <v>71</v>
      </c>
      <c r="C3" s="12" t="s">
        <v>69</v>
      </c>
    </row>
    <row r="4" spans="1:3" x14ac:dyDescent="0.3">
      <c r="A4" s="12" t="str">
        <f>toYID(CONCATENATE("product_",ProductsTable[[#This Row],[Name]]))</f>
        <v>PRODUCT_PROVOLOGNE</v>
      </c>
      <c r="B4" t="s">
        <v>104</v>
      </c>
      <c r="C4" s="12" t="s">
        <v>9</v>
      </c>
    </row>
    <row r="5" spans="1:3" x14ac:dyDescent="0.3">
      <c r="A5" s="12" t="str">
        <f>toYID(CONCATENATE("product_",ProductsTable[[#This Row],[Name]]))</f>
        <v>PRODUCT_AMERICAN</v>
      </c>
      <c r="B5" t="s">
        <v>72</v>
      </c>
      <c r="C5" s="12" t="s">
        <v>9</v>
      </c>
    </row>
    <row r="6" spans="1:3" x14ac:dyDescent="0.3">
      <c r="A6" s="12" t="str">
        <f>toYID(CONCATENATE("product_",ProductsTable[[#This Row],[Name]]))</f>
        <v>PRODUCT_SEMI_HARD_CHEESE</v>
      </c>
      <c r="B6" t="s">
        <v>73</v>
      </c>
      <c r="C6" s="12" t="s">
        <v>69</v>
      </c>
    </row>
    <row r="7" spans="1:3" x14ac:dyDescent="0.3">
      <c r="A7" s="12" t="str">
        <f>toYID(CONCATENATE("product_",ProductsTable[[#This Row],[Name]]))</f>
        <v>PRODUCT_CHEDDAR</v>
      </c>
      <c r="B7" t="s">
        <v>74</v>
      </c>
      <c r="C7" t="s">
        <v>10</v>
      </c>
    </row>
    <row r="8" spans="1:3" x14ac:dyDescent="0.3">
      <c r="A8" s="12" t="str">
        <f>toYID(CONCATENATE("product_",ProductsTable[[#This Row],[Name]]))</f>
        <v>PRODUCT_MEDIUM_HARD_CHEESE</v>
      </c>
      <c r="B8" t="s">
        <v>75</v>
      </c>
      <c r="C8" t="s">
        <v>69</v>
      </c>
    </row>
    <row r="9" spans="1:3" x14ac:dyDescent="0.3">
      <c r="A9" s="12" t="str">
        <f>toYID(CONCATENATE("product_",ProductsTable[[#This Row],[Name]]))</f>
        <v>PRODUCT_SWISS</v>
      </c>
      <c r="B9" t="s">
        <v>76</v>
      </c>
      <c r="C9" t="s">
        <v>7</v>
      </c>
    </row>
    <row r="10" spans="1:3" x14ac:dyDescent="0.3">
      <c r="A10" s="12" t="str">
        <f>toYID(CONCATENATE("product_",ProductsTable[[#This Row],[Name]]))</f>
        <v>PRODUCT_FRESH_CHEESE</v>
      </c>
      <c r="B10" t="s">
        <v>77</v>
      </c>
      <c r="C10" t="s">
        <v>69</v>
      </c>
    </row>
    <row r="11" spans="1:3" x14ac:dyDescent="0.3">
      <c r="A11" s="12" t="str">
        <f>toYID(CONCATENATE("product_",ProductsTable[[#This Row],[Name]]))</f>
        <v>PRODUCT_MOZZARELLA</v>
      </c>
      <c r="B11" t="s">
        <v>78</v>
      </c>
      <c r="C11" t="s">
        <v>6</v>
      </c>
    </row>
    <row r="12" spans="1:3" x14ac:dyDescent="0.3">
      <c r="A12" s="12" t="str">
        <f>toYID(CONCATENATE("product_",ProductsTable[[#This Row],[Name]]))</f>
        <v>PRODUCT_COTTAGE</v>
      </c>
      <c r="B12" t="s">
        <v>79</v>
      </c>
      <c r="C12" t="s">
        <v>6</v>
      </c>
    </row>
    <row r="13" spans="1:3" x14ac:dyDescent="0.3">
      <c r="A13" s="12" t="str">
        <f>toYID(CONCATENATE("product_",ProductsTable[[#This Row],[Name]]))</f>
        <v>PRODUCT_COSTEÑO</v>
      </c>
      <c r="B13" t="s">
        <v>80</v>
      </c>
      <c r="C13" t="s">
        <v>6</v>
      </c>
    </row>
    <row r="14" spans="1:3" x14ac:dyDescent="0.3">
      <c r="A14" s="12" t="str">
        <f>toYID(CONCATENATE("product_",ProductsTable[[#This Row],[Name]]))</f>
        <v>PRODUCT_BUFFALO</v>
      </c>
      <c r="B14" t="s">
        <v>81</v>
      </c>
      <c r="C14" t="s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6"/>
  <sheetViews>
    <sheetView tabSelected="1" workbookViewId="0">
      <selection sqref="A1:B2"/>
    </sheetView>
  </sheetViews>
  <sheetFormatPr defaultRowHeight="14.4" x14ac:dyDescent="0.3"/>
  <cols>
    <col min="1" max="1" width="15.33203125" bestFit="1" customWidth="1"/>
  </cols>
  <sheetData>
    <row r="1" spans="1:2" x14ac:dyDescent="0.3">
      <c r="A1" t="s">
        <v>62</v>
      </c>
      <c r="B1" t="s">
        <v>66</v>
      </c>
    </row>
    <row r="2" spans="1:2" x14ac:dyDescent="0.3">
      <c r="A2" t="str">
        <f>toYID(_xlfn.CONCAT("CITY_",CitiesTable[[#This Row],[Name]]))</f>
        <v>CITY_NEW_YORK</v>
      </c>
      <c r="B2" t="s">
        <v>70</v>
      </c>
    </row>
    <row r="3" spans="1:2" x14ac:dyDescent="0.3">
      <c r="A3" t="str">
        <f>toYID(_xlfn.CONCAT("CITY_",CitiesTable[[#This Row],[Name]]))</f>
        <v>CITY_BOGOTA</v>
      </c>
      <c r="B3" t="s">
        <v>85</v>
      </c>
    </row>
    <row r="4" spans="1:2" x14ac:dyDescent="0.3">
      <c r="A4" t="str">
        <f>toYID(_xlfn.CONCAT("CITY_",CitiesTable[[#This Row],[Name]]))</f>
        <v>CITY_PARIS</v>
      </c>
      <c r="B4" t="s">
        <v>84</v>
      </c>
    </row>
    <row r="5" spans="1:2" x14ac:dyDescent="0.3">
      <c r="A5" t="str">
        <f>toYID(_xlfn.CONCAT("CITY_",CitiesTable[[#This Row],[Name]]))</f>
        <v>CITY_DALLAS</v>
      </c>
      <c r="B5" t="s">
        <v>83</v>
      </c>
    </row>
    <row r="6" spans="1:2" x14ac:dyDescent="0.3">
      <c r="A6" t="str">
        <f>toYID(_xlfn.CONCAT("CITY_",CitiesTable[[#This Row],[Name]]))</f>
        <v>CITY_LYON</v>
      </c>
      <c r="B6" t="s">
        <v>82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C9"/>
  <sheetViews>
    <sheetView workbookViewId="0"/>
  </sheetViews>
  <sheetFormatPr defaultRowHeight="14.4" x14ac:dyDescent="0.3"/>
  <cols>
    <col min="1" max="1" width="34.88671875" bestFit="1" customWidth="1"/>
    <col min="2" max="2" width="23.6640625" bestFit="1" customWidth="1"/>
    <col min="3" max="3" width="15.33203125" bestFit="1" customWidth="1"/>
  </cols>
  <sheetData>
    <row r="1" spans="1:3" x14ac:dyDescent="0.3">
      <c r="A1" t="s">
        <v>62</v>
      </c>
      <c r="B1" t="s">
        <v>66</v>
      </c>
      <c r="C1" t="s">
        <v>86</v>
      </c>
    </row>
    <row r="2" spans="1:3" x14ac:dyDescent="0.3">
      <c r="A2" t="str">
        <f>toYID(_xlfn.CONCAT("store_",StoresTable[[#This Row],[Name]]))</f>
        <v>STORE_CHEESE_FOR_ALL</v>
      </c>
      <c r="B2" t="s">
        <v>87</v>
      </c>
      <c r="C2" s="10" t="s">
        <v>21</v>
      </c>
    </row>
    <row r="3" spans="1:3" x14ac:dyDescent="0.3">
      <c r="A3" t="str">
        <f>toYID(_xlfn.CONCAT("store_",StoresTable[[#This Row],[Name]]))</f>
        <v>STORE_QUESERIA_COLOMBIANA</v>
      </c>
      <c r="B3" t="s">
        <v>88</v>
      </c>
      <c r="C3" s="10" t="s">
        <v>13</v>
      </c>
    </row>
    <row r="4" spans="1:3" x14ac:dyDescent="0.3">
      <c r="A4" t="str">
        <f>toYID(_xlfn.CONCAT("store_",StoresTable[[#This Row],[Name]]))</f>
        <v>STORE_CAPITAL_CHEESE_STORE</v>
      </c>
      <c r="B4" t="s">
        <v>89</v>
      </c>
      <c r="C4" s="10" t="s">
        <v>23</v>
      </c>
    </row>
    <row r="5" spans="1:3" x14ac:dyDescent="0.3">
      <c r="A5" t="str">
        <f>toYID(_xlfn.CONCAT("store_",StoresTable[[#This Row],[Name]]))</f>
        <v>STORE_UNCLE_BOBS_CHEESE_FACTORY</v>
      </c>
      <c r="B5" t="s">
        <v>90</v>
      </c>
      <c r="C5" s="10" t="s">
        <v>17</v>
      </c>
    </row>
    <row r="6" spans="1:3" x14ac:dyDescent="0.3">
      <c r="A6" t="str">
        <f>toYID(_xlfn.CONCAT("store_",StoresTable[[#This Row],[Name]]))</f>
        <v>STORE_LYON_CHEESE_STORE</v>
      </c>
      <c r="B6" t="s">
        <v>91</v>
      </c>
      <c r="C6" s="11" t="s">
        <v>19</v>
      </c>
    </row>
    <row r="7" spans="1:3" x14ac:dyDescent="0.3">
      <c r="A7" t="str">
        <f>toYID(_xlfn.CONCAT("store_",StoresTable[[#This Row],[Name]]))</f>
        <v>STORE_QUESERIA_COSTEÑA</v>
      </c>
      <c r="B7" t="s">
        <v>92</v>
      </c>
      <c r="C7" s="10" t="s">
        <v>13</v>
      </c>
    </row>
    <row r="8" spans="1:3" x14ac:dyDescent="0.3">
      <c r="A8" t="str">
        <f>toYID(_xlfn.CONCAT("store_",StoresTable[[#This Row],[Name]]))</f>
        <v>STORE_AMERICAN_SPECIAL_CHEESES</v>
      </c>
      <c r="B8" t="s">
        <v>93</v>
      </c>
      <c r="C8" s="10" t="s">
        <v>21</v>
      </c>
    </row>
    <row r="9" spans="1:3" x14ac:dyDescent="0.3">
      <c r="A9" t="str">
        <f>toYID(_xlfn.CONCAT("store_",StoresTable[[#This Row],[Name]]))</f>
        <v>STORE_DELUXE_CHEESE_STORE</v>
      </c>
      <c r="B9" t="s">
        <v>94</v>
      </c>
      <c r="C9" s="10" t="s">
        <v>23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365"/>
  <sheetViews>
    <sheetView workbookViewId="0">
      <selection activeCell="A2" sqref="A2"/>
    </sheetView>
  </sheetViews>
  <sheetFormatPr defaultRowHeight="14.4" x14ac:dyDescent="0.3"/>
  <cols>
    <col min="1" max="1" width="15.5546875" bestFit="1" customWidth="1"/>
    <col min="2" max="2" width="15.33203125" bestFit="1" customWidth="1"/>
    <col min="3" max="3" width="34.88671875" bestFit="1" customWidth="1"/>
    <col min="4" max="4" width="31" bestFit="1" customWidth="1"/>
    <col min="5" max="6" width="19.6640625" customWidth="1"/>
  </cols>
  <sheetData>
    <row r="1" spans="1:6" x14ac:dyDescent="0.3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</row>
    <row r="2" spans="1:6" x14ac:dyDescent="0.3">
      <c r="A2" t="s">
        <v>0</v>
      </c>
      <c r="B2" t="s">
        <v>23</v>
      </c>
      <c r="C2" t="s">
        <v>18</v>
      </c>
      <c r="D2" t="s">
        <v>1</v>
      </c>
      <c r="E2">
        <f>'Sold units'!$C4</f>
        <v>486</v>
      </c>
      <c r="F2" s="14">
        <f>'Sale value'!$C4</f>
        <v>3717.9</v>
      </c>
    </row>
    <row r="3" spans="1:6" x14ac:dyDescent="0.3">
      <c r="A3" t="s">
        <v>0</v>
      </c>
      <c r="B3" t="s">
        <v>23</v>
      </c>
      <c r="C3" t="s">
        <v>24</v>
      </c>
      <c r="D3" t="s">
        <v>1</v>
      </c>
      <c r="E3">
        <f>'Sold units'!$C5</f>
        <v>351</v>
      </c>
      <c r="F3" s="14">
        <f>'Sale value'!$C5</f>
        <v>3671.4600000000005</v>
      </c>
    </row>
    <row r="4" spans="1:6" x14ac:dyDescent="0.3">
      <c r="A4" t="s">
        <v>0</v>
      </c>
      <c r="B4" t="s">
        <v>23</v>
      </c>
      <c r="C4" t="s">
        <v>102</v>
      </c>
      <c r="D4" t="s">
        <v>1</v>
      </c>
      <c r="E4">
        <f>'Sold units'!$C6</f>
        <v>837</v>
      </c>
      <c r="F4" s="14">
        <f>'Sale value'!$C6</f>
        <v>7389.3600000000006</v>
      </c>
    </row>
    <row r="5" spans="1:6" x14ac:dyDescent="0.3">
      <c r="A5" t="s">
        <v>0</v>
      </c>
      <c r="B5" t="s">
        <v>21</v>
      </c>
      <c r="C5" t="s">
        <v>16</v>
      </c>
      <c r="D5" t="s">
        <v>1</v>
      </c>
      <c r="E5">
        <f>'Sold units'!$C7</f>
        <v>215</v>
      </c>
      <c r="F5" s="14">
        <f>'Sale value'!$C7</f>
        <v>2474.65</v>
      </c>
    </row>
    <row r="6" spans="1:6" x14ac:dyDescent="0.3">
      <c r="A6" t="s">
        <v>0</v>
      </c>
      <c r="B6" t="s">
        <v>21</v>
      </c>
      <c r="C6" t="s">
        <v>22</v>
      </c>
      <c r="D6" t="s">
        <v>1</v>
      </c>
      <c r="E6">
        <f>'Sold units'!$C8</f>
        <v>654</v>
      </c>
      <c r="F6" s="14">
        <f>'Sale value'!$C8</f>
        <v>4231.38</v>
      </c>
    </row>
    <row r="7" spans="1:6" x14ac:dyDescent="0.3">
      <c r="A7" t="s">
        <v>0</v>
      </c>
      <c r="B7" t="s">
        <v>21</v>
      </c>
      <c r="C7" t="s">
        <v>102</v>
      </c>
      <c r="D7" t="s">
        <v>1</v>
      </c>
      <c r="E7">
        <f>'Sold units'!$C9</f>
        <v>869</v>
      </c>
      <c r="F7" s="14">
        <f>'Sale value'!$C9</f>
        <v>6706.0300000000007</v>
      </c>
    </row>
    <row r="8" spans="1:6" x14ac:dyDescent="0.3">
      <c r="A8" t="s">
        <v>0</v>
      </c>
      <c r="B8" t="s">
        <v>13</v>
      </c>
      <c r="C8" t="s">
        <v>12</v>
      </c>
      <c r="D8" t="s">
        <v>1</v>
      </c>
      <c r="E8">
        <f>'Sold units'!$C10</f>
        <v>954</v>
      </c>
      <c r="F8" s="14">
        <f>'Sale value'!$C10</f>
        <v>10713.42</v>
      </c>
    </row>
    <row r="9" spans="1:6" x14ac:dyDescent="0.3">
      <c r="A9" t="s">
        <v>0</v>
      </c>
      <c r="B9" t="s">
        <v>13</v>
      </c>
      <c r="C9" t="s">
        <v>15</v>
      </c>
      <c r="D9" t="s">
        <v>1</v>
      </c>
      <c r="E9">
        <f>'Sold units'!$C11</f>
        <v>254</v>
      </c>
      <c r="F9" s="14">
        <f>'Sale value'!$C11</f>
        <v>3937</v>
      </c>
    </row>
    <row r="10" spans="1:6" x14ac:dyDescent="0.3">
      <c r="A10" t="s">
        <v>0</v>
      </c>
      <c r="B10" t="s">
        <v>13</v>
      </c>
      <c r="C10" t="s">
        <v>102</v>
      </c>
      <c r="D10" t="s">
        <v>1</v>
      </c>
      <c r="E10">
        <f>'Sold units'!$C12</f>
        <v>1208</v>
      </c>
      <c r="F10" s="14">
        <f>'Sale value'!$C12</f>
        <v>14650.42</v>
      </c>
    </row>
    <row r="11" spans="1:6" x14ac:dyDescent="0.3">
      <c r="A11" t="s">
        <v>0</v>
      </c>
      <c r="B11" t="s">
        <v>17</v>
      </c>
      <c r="C11" t="s">
        <v>14</v>
      </c>
      <c r="D11" t="s">
        <v>1</v>
      </c>
      <c r="E11">
        <f>'Sold units'!$C13</f>
        <v>251</v>
      </c>
      <c r="F11" s="14">
        <f>'Sale value'!$C13</f>
        <v>1977.8799999999999</v>
      </c>
    </row>
    <row r="12" spans="1:6" x14ac:dyDescent="0.3">
      <c r="A12" t="s">
        <v>0</v>
      </c>
      <c r="B12" t="s">
        <v>17</v>
      </c>
      <c r="C12" t="s">
        <v>102</v>
      </c>
      <c r="D12" t="s">
        <v>1</v>
      </c>
      <c r="E12">
        <f>'Sold units'!$C14</f>
        <v>251</v>
      </c>
      <c r="F12" s="14">
        <f>'Sale value'!$C14</f>
        <v>1977.8799999999999</v>
      </c>
    </row>
    <row r="13" spans="1:6" x14ac:dyDescent="0.3">
      <c r="A13" t="s">
        <v>0</v>
      </c>
      <c r="B13" t="s">
        <v>19</v>
      </c>
      <c r="C13" t="s">
        <v>20</v>
      </c>
      <c r="D13" t="s">
        <v>1</v>
      </c>
      <c r="E13">
        <f>'Sold units'!$C15</f>
        <v>547</v>
      </c>
      <c r="F13" s="14">
        <f>'Sale value'!$C15</f>
        <v>5956.83</v>
      </c>
    </row>
    <row r="14" spans="1:6" x14ac:dyDescent="0.3">
      <c r="A14" t="s">
        <v>0</v>
      </c>
      <c r="B14" t="s">
        <v>19</v>
      </c>
      <c r="C14" t="s">
        <v>102</v>
      </c>
      <c r="D14" t="s">
        <v>1</v>
      </c>
      <c r="E14">
        <f>'Sold units'!$C16</f>
        <v>547</v>
      </c>
      <c r="F14" s="14">
        <f>'Sale value'!$C16</f>
        <v>5956.83</v>
      </c>
    </row>
    <row r="15" spans="1:6" x14ac:dyDescent="0.3">
      <c r="A15" t="s">
        <v>0</v>
      </c>
      <c r="B15" t="s">
        <v>101</v>
      </c>
      <c r="C15" t="s">
        <v>102</v>
      </c>
      <c r="D15" t="s">
        <v>1</v>
      </c>
      <c r="E15">
        <f>'Sold units'!$C17</f>
        <v>3712</v>
      </c>
      <c r="F15" s="14">
        <f>'Sale value'!$C17</f>
        <v>36680.520000000004</v>
      </c>
    </row>
    <row r="16" spans="1:6" x14ac:dyDescent="0.3">
      <c r="A16" t="s">
        <v>0</v>
      </c>
      <c r="B16" t="s">
        <v>23</v>
      </c>
      <c r="C16" t="s">
        <v>18</v>
      </c>
      <c r="D16" t="s">
        <v>103</v>
      </c>
      <c r="E16">
        <f>'Sold units'!$D4</f>
        <v>911</v>
      </c>
      <c r="F16" s="14">
        <f>'Sale value'!$D4</f>
        <v>8089.68</v>
      </c>
    </row>
    <row r="17" spans="1:6" x14ac:dyDescent="0.3">
      <c r="A17" t="s">
        <v>0</v>
      </c>
      <c r="B17" t="s">
        <v>23</v>
      </c>
      <c r="C17" t="s">
        <v>24</v>
      </c>
      <c r="D17" t="s">
        <v>103</v>
      </c>
      <c r="E17">
        <f>'Sold units'!$D5</f>
        <v>365</v>
      </c>
      <c r="F17" s="14">
        <f>'Sale value'!$D5</f>
        <v>3441.95</v>
      </c>
    </row>
    <row r="18" spans="1:6" x14ac:dyDescent="0.3">
      <c r="A18" t="s">
        <v>0</v>
      </c>
      <c r="B18" t="s">
        <v>23</v>
      </c>
      <c r="C18" t="s">
        <v>102</v>
      </c>
      <c r="D18" t="s">
        <v>103</v>
      </c>
      <c r="E18">
        <f>'Sold units'!$D6</f>
        <v>1276</v>
      </c>
      <c r="F18" s="14">
        <f>'Sale value'!$D6</f>
        <v>11531.630000000001</v>
      </c>
    </row>
    <row r="19" spans="1:6" x14ac:dyDescent="0.3">
      <c r="A19" t="s">
        <v>0</v>
      </c>
      <c r="B19" t="s">
        <v>21</v>
      </c>
      <c r="C19" t="s">
        <v>16</v>
      </c>
      <c r="D19" t="s">
        <v>103</v>
      </c>
      <c r="E19">
        <f>'Sold units'!$D7</f>
        <v>235</v>
      </c>
      <c r="F19" s="14">
        <f>'Sale value'!$D7</f>
        <v>1649.6999999999998</v>
      </c>
    </row>
    <row r="20" spans="1:6" x14ac:dyDescent="0.3">
      <c r="A20" t="s">
        <v>0</v>
      </c>
      <c r="B20" t="s">
        <v>21</v>
      </c>
      <c r="C20" t="s">
        <v>22</v>
      </c>
      <c r="D20" t="s">
        <v>103</v>
      </c>
      <c r="E20">
        <f>'Sold units'!$D8</f>
        <v>874</v>
      </c>
      <c r="F20" s="14">
        <f>'Sale value'!$D8</f>
        <v>12157.34</v>
      </c>
    </row>
    <row r="21" spans="1:6" x14ac:dyDescent="0.3">
      <c r="A21" t="s">
        <v>0</v>
      </c>
      <c r="B21" t="s">
        <v>21</v>
      </c>
      <c r="C21" t="s">
        <v>102</v>
      </c>
      <c r="D21" t="s">
        <v>103</v>
      </c>
      <c r="E21">
        <f>'Sold units'!$D9</f>
        <v>1109</v>
      </c>
      <c r="F21" s="14">
        <f>'Sale value'!$D9</f>
        <v>13807.04</v>
      </c>
    </row>
    <row r="22" spans="1:6" x14ac:dyDescent="0.3">
      <c r="A22" t="s">
        <v>0</v>
      </c>
      <c r="B22" t="s">
        <v>13</v>
      </c>
      <c r="C22" t="s">
        <v>12</v>
      </c>
      <c r="D22" t="s">
        <v>103</v>
      </c>
      <c r="E22">
        <f>'Sold units'!$D10</f>
        <v>351</v>
      </c>
      <c r="F22" s="14">
        <f>'Sale value'!$D10</f>
        <v>4640.22</v>
      </c>
    </row>
    <row r="23" spans="1:6" x14ac:dyDescent="0.3">
      <c r="A23" t="s">
        <v>0</v>
      </c>
      <c r="B23" t="s">
        <v>13</v>
      </c>
      <c r="C23" t="s">
        <v>15</v>
      </c>
      <c r="D23" t="s">
        <v>103</v>
      </c>
      <c r="E23">
        <f>'Sold units'!$D11</f>
        <v>954</v>
      </c>
      <c r="F23" s="14">
        <f>'Sale value'!$D11</f>
        <v>14023.8</v>
      </c>
    </row>
    <row r="24" spans="1:6" x14ac:dyDescent="0.3">
      <c r="A24" t="s">
        <v>0</v>
      </c>
      <c r="B24" t="s">
        <v>13</v>
      </c>
      <c r="C24" t="s">
        <v>102</v>
      </c>
      <c r="D24" t="s">
        <v>103</v>
      </c>
      <c r="E24">
        <f>'Sold units'!$D12</f>
        <v>1305</v>
      </c>
      <c r="F24" s="14">
        <f>'Sale value'!$D12</f>
        <v>18664.02</v>
      </c>
    </row>
    <row r="25" spans="1:6" x14ac:dyDescent="0.3">
      <c r="A25" t="s">
        <v>0</v>
      </c>
      <c r="B25" t="s">
        <v>17</v>
      </c>
      <c r="C25" t="s">
        <v>14</v>
      </c>
      <c r="D25" t="s">
        <v>103</v>
      </c>
      <c r="E25">
        <f>'Sold units'!$D13</f>
        <v>215</v>
      </c>
      <c r="F25" s="14">
        <f>'Sale value'!$D13</f>
        <v>2790.7000000000003</v>
      </c>
    </row>
    <row r="26" spans="1:6" x14ac:dyDescent="0.3">
      <c r="A26" t="s">
        <v>0</v>
      </c>
      <c r="B26" t="s">
        <v>17</v>
      </c>
      <c r="C26" t="s">
        <v>102</v>
      </c>
      <c r="D26" t="s">
        <v>103</v>
      </c>
      <c r="E26">
        <f>'Sold units'!$D14</f>
        <v>215</v>
      </c>
      <c r="F26" s="14">
        <f>'Sale value'!$D14</f>
        <v>2790.7000000000003</v>
      </c>
    </row>
    <row r="27" spans="1:6" x14ac:dyDescent="0.3">
      <c r="A27" t="s">
        <v>0</v>
      </c>
      <c r="B27" t="s">
        <v>19</v>
      </c>
      <c r="C27" t="s">
        <v>20</v>
      </c>
      <c r="D27" t="s">
        <v>103</v>
      </c>
      <c r="E27">
        <f>'Sold units'!$D15</f>
        <v>250</v>
      </c>
      <c r="F27" s="14">
        <f>'Sale value'!$D15</f>
        <v>1522.5</v>
      </c>
    </row>
    <row r="28" spans="1:6" x14ac:dyDescent="0.3">
      <c r="A28" t="s">
        <v>0</v>
      </c>
      <c r="B28" t="s">
        <v>19</v>
      </c>
      <c r="C28" t="s">
        <v>102</v>
      </c>
      <c r="D28" t="s">
        <v>103</v>
      </c>
      <c r="E28">
        <f>'Sold units'!$D16</f>
        <v>250</v>
      </c>
      <c r="F28" s="14">
        <f>'Sale value'!$D16</f>
        <v>1522.5</v>
      </c>
    </row>
    <row r="29" spans="1:6" x14ac:dyDescent="0.3">
      <c r="A29" t="s">
        <v>0</v>
      </c>
      <c r="B29" t="s">
        <v>101</v>
      </c>
      <c r="C29" t="s">
        <v>102</v>
      </c>
      <c r="D29" t="s">
        <v>103</v>
      </c>
      <c r="E29">
        <f>'Sold units'!$D17</f>
        <v>4155</v>
      </c>
      <c r="F29" s="14">
        <f>'Sale value'!$D17</f>
        <v>48315.89</v>
      </c>
    </row>
    <row r="30" spans="1:6" x14ac:dyDescent="0.3">
      <c r="A30" t="s">
        <v>0</v>
      </c>
      <c r="B30" t="s">
        <v>23</v>
      </c>
      <c r="C30" t="s">
        <v>18</v>
      </c>
      <c r="D30" t="s">
        <v>9</v>
      </c>
      <c r="E30">
        <f>'Sold units'!$E4</f>
        <v>1397</v>
      </c>
      <c r="F30" s="14">
        <f>'Sale value'!$E4</f>
        <v>11807.58</v>
      </c>
    </row>
    <row r="31" spans="1:6" x14ac:dyDescent="0.3">
      <c r="A31" t="s">
        <v>0</v>
      </c>
      <c r="B31" t="s">
        <v>23</v>
      </c>
      <c r="C31" t="s">
        <v>24</v>
      </c>
      <c r="D31" t="s">
        <v>9</v>
      </c>
      <c r="E31">
        <f>'Sold units'!$E5</f>
        <v>716</v>
      </c>
      <c r="F31" s="14">
        <f>'Sale value'!$E5</f>
        <v>7113.41</v>
      </c>
    </row>
    <row r="32" spans="1:6" x14ac:dyDescent="0.3">
      <c r="A32" t="s">
        <v>0</v>
      </c>
      <c r="B32" t="s">
        <v>23</v>
      </c>
      <c r="C32" t="s">
        <v>102</v>
      </c>
      <c r="D32" t="s">
        <v>9</v>
      </c>
      <c r="E32">
        <f>'Sold units'!$E6</f>
        <v>2113</v>
      </c>
      <c r="F32" s="14">
        <f>'Sale value'!$E6</f>
        <v>18920.990000000002</v>
      </c>
    </row>
    <row r="33" spans="1:6" x14ac:dyDescent="0.3">
      <c r="A33" t="s">
        <v>0</v>
      </c>
      <c r="B33" t="s">
        <v>21</v>
      </c>
      <c r="C33" t="s">
        <v>16</v>
      </c>
      <c r="D33" t="s">
        <v>9</v>
      </c>
      <c r="E33">
        <f>'Sold units'!$E7</f>
        <v>450</v>
      </c>
      <c r="F33" s="14">
        <f>'Sale value'!$E7</f>
        <v>4124.3500000000004</v>
      </c>
    </row>
    <row r="34" spans="1:6" x14ac:dyDescent="0.3">
      <c r="A34" t="s">
        <v>0</v>
      </c>
      <c r="B34" t="s">
        <v>21</v>
      </c>
      <c r="C34" t="s">
        <v>22</v>
      </c>
      <c r="D34" t="s">
        <v>9</v>
      </c>
      <c r="E34">
        <f>'Sold units'!$E8</f>
        <v>1528</v>
      </c>
      <c r="F34" s="14">
        <f>'Sale value'!$E8</f>
        <v>16388.72</v>
      </c>
    </row>
    <row r="35" spans="1:6" x14ac:dyDescent="0.3">
      <c r="A35" t="s">
        <v>0</v>
      </c>
      <c r="B35" t="s">
        <v>21</v>
      </c>
      <c r="C35" t="s">
        <v>102</v>
      </c>
      <c r="D35" t="s">
        <v>9</v>
      </c>
      <c r="E35">
        <f>'Sold units'!$E9</f>
        <v>1978</v>
      </c>
      <c r="F35" s="14">
        <f>'Sale value'!$E9</f>
        <v>20513.07</v>
      </c>
    </row>
    <row r="36" spans="1:6" x14ac:dyDescent="0.3">
      <c r="A36" t="s">
        <v>0</v>
      </c>
      <c r="B36" t="s">
        <v>13</v>
      </c>
      <c r="C36" t="s">
        <v>12</v>
      </c>
      <c r="D36" t="s">
        <v>9</v>
      </c>
      <c r="E36">
        <f>'Sold units'!$E10</f>
        <v>1305</v>
      </c>
      <c r="F36" s="14">
        <f>'Sale value'!$E10</f>
        <v>15353.64</v>
      </c>
    </row>
    <row r="37" spans="1:6" x14ac:dyDescent="0.3">
      <c r="A37" t="s">
        <v>0</v>
      </c>
      <c r="B37" t="s">
        <v>13</v>
      </c>
      <c r="C37" t="s">
        <v>15</v>
      </c>
      <c r="D37" t="s">
        <v>9</v>
      </c>
      <c r="E37">
        <f>'Sold units'!$E11</f>
        <v>1208</v>
      </c>
      <c r="F37" s="14">
        <f>'Sale value'!$E11</f>
        <v>17960.8</v>
      </c>
    </row>
    <row r="38" spans="1:6" x14ac:dyDescent="0.3">
      <c r="A38" t="s">
        <v>0</v>
      </c>
      <c r="B38" t="s">
        <v>13</v>
      </c>
      <c r="C38" t="s">
        <v>102</v>
      </c>
      <c r="D38" t="s">
        <v>9</v>
      </c>
      <c r="E38">
        <f>'Sold units'!$E12</f>
        <v>2513</v>
      </c>
      <c r="F38" s="14">
        <f>'Sale value'!$E12</f>
        <v>33314.44</v>
      </c>
    </row>
    <row r="39" spans="1:6" x14ac:dyDescent="0.3">
      <c r="A39" t="s">
        <v>0</v>
      </c>
      <c r="B39" t="s">
        <v>17</v>
      </c>
      <c r="C39" t="s">
        <v>14</v>
      </c>
      <c r="D39" t="s">
        <v>9</v>
      </c>
      <c r="E39">
        <f>'Sold units'!$E13</f>
        <v>466</v>
      </c>
      <c r="F39" s="14">
        <f>'Sale value'!$E13</f>
        <v>4768.58</v>
      </c>
    </row>
    <row r="40" spans="1:6" x14ac:dyDescent="0.3">
      <c r="A40" t="s">
        <v>0</v>
      </c>
      <c r="B40" t="s">
        <v>17</v>
      </c>
      <c r="C40" t="s">
        <v>102</v>
      </c>
      <c r="D40" t="s">
        <v>9</v>
      </c>
      <c r="E40">
        <f>'Sold units'!$E14</f>
        <v>466</v>
      </c>
      <c r="F40" s="14">
        <f>'Sale value'!$E14</f>
        <v>4768.58</v>
      </c>
    </row>
    <row r="41" spans="1:6" x14ac:dyDescent="0.3">
      <c r="A41" t="s">
        <v>0</v>
      </c>
      <c r="B41" t="s">
        <v>19</v>
      </c>
      <c r="C41" t="s">
        <v>20</v>
      </c>
      <c r="D41" t="s">
        <v>9</v>
      </c>
      <c r="E41">
        <f>'Sold units'!$E15</f>
        <v>797</v>
      </c>
      <c r="F41" s="14">
        <f>'Sale value'!$E15</f>
        <v>7479.33</v>
      </c>
    </row>
    <row r="42" spans="1:6" x14ac:dyDescent="0.3">
      <c r="A42" t="s">
        <v>0</v>
      </c>
      <c r="B42" t="s">
        <v>19</v>
      </c>
      <c r="C42" t="s">
        <v>102</v>
      </c>
      <c r="D42" t="s">
        <v>9</v>
      </c>
      <c r="E42">
        <f>'Sold units'!$E16</f>
        <v>797</v>
      </c>
      <c r="F42" s="14">
        <f>'Sale value'!$E16</f>
        <v>7479.33</v>
      </c>
    </row>
    <row r="43" spans="1:6" x14ac:dyDescent="0.3">
      <c r="A43" t="s">
        <v>0</v>
      </c>
      <c r="B43" t="s">
        <v>101</v>
      </c>
      <c r="C43" t="s">
        <v>102</v>
      </c>
      <c r="D43" t="s">
        <v>9</v>
      </c>
      <c r="E43">
        <f>'Sold units'!$E17</f>
        <v>7867</v>
      </c>
      <c r="F43" s="14">
        <f>'Sale value'!$E17</f>
        <v>84996.41</v>
      </c>
    </row>
    <row r="44" spans="1:6" x14ac:dyDescent="0.3">
      <c r="A44" t="s">
        <v>0</v>
      </c>
      <c r="B44" t="s">
        <v>23</v>
      </c>
      <c r="C44" t="s">
        <v>18</v>
      </c>
      <c r="D44" t="s">
        <v>4</v>
      </c>
      <c r="E44">
        <f>'Sold units'!$F4</f>
        <v>215</v>
      </c>
      <c r="F44" s="14">
        <f>'Sale value'!$F4</f>
        <v>1984.45</v>
      </c>
    </row>
    <row r="45" spans="1:6" x14ac:dyDescent="0.3">
      <c r="A45" t="s">
        <v>0</v>
      </c>
      <c r="B45" t="s">
        <v>23</v>
      </c>
      <c r="C45" t="s">
        <v>24</v>
      </c>
      <c r="D45" t="s">
        <v>4</v>
      </c>
      <c r="E45">
        <f>'Sold units'!$F5</f>
        <v>159</v>
      </c>
      <c r="F45" s="14">
        <f>'Sale value'!$F5</f>
        <v>1818.9599999999998</v>
      </c>
    </row>
    <row r="46" spans="1:6" x14ac:dyDescent="0.3">
      <c r="A46" t="s">
        <v>0</v>
      </c>
      <c r="B46" t="s">
        <v>23</v>
      </c>
      <c r="C46" t="s">
        <v>102</v>
      </c>
      <c r="D46" t="s">
        <v>4</v>
      </c>
      <c r="E46">
        <f>'Sold units'!$F6</f>
        <v>374</v>
      </c>
      <c r="F46" s="14">
        <f>'Sale value'!$F6</f>
        <v>3803.41</v>
      </c>
    </row>
    <row r="47" spans="1:6" x14ac:dyDescent="0.3">
      <c r="A47" t="s">
        <v>0</v>
      </c>
      <c r="B47" t="s">
        <v>21</v>
      </c>
      <c r="C47" t="s">
        <v>16</v>
      </c>
      <c r="D47" t="s">
        <v>4</v>
      </c>
      <c r="E47">
        <f>'Sold units'!$F7</f>
        <v>157</v>
      </c>
      <c r="F47" s="14">
        <f>'Sale value'!$F7</f>
        <v>1846.32</v>
      </c>
    </row>
    <row r="48" spans="1:6" x14ac:dyDescent="0.3">
      <c r="A48" t="s">
        <v>0</v>
      </c>
      <c r="B48" t="s">
        <v>21</v>
      </c>
      <c r="C48" t="s">
        <v>22</v>
      </c>
      <c r="D48" t="s">
        <v>4</v>
      </c>
      <c r="E48">
        <f>'Sold units'!$F8</f>
        <v>499</v>
      </c>
      <c r="F48" s="14">
        <f>'Sale value'!$F8</f>
        <v>2709.5699999999997</v>
      </c>
    </row>
    <row r="49" spans="1:6" x14ac:dyDescent="0.3">
      <c r="A49" t="s">
        <v>0</v>
      </c>
      <c r="B49" t="s">
        <v>21</v>
      </c>
      <c r="C49" t="s">
        <v>102</v>
      </c>
      <c r="D49" t="s">
        <v>4</v>
      </c>
      <c r="E49">
        <f>'Sold units'!$F9</f>
        <v>656</v>
      </c>
      <c r="F49" s="14">
        <f>'Sale value'!$F9</f>
        <v>4555.8899999999994</v>
      </c>
    </row>
    <row r="50" spans="1:6" x14ac:dyDescent="0.3">
      <c r="A50" t="s">
        <v>0</v>
      </c>
      <c r="B50" t="s">
        <v>13</v>
      </c>
      <c r="C50" t="s">
        <v>12</v>
      </c>
      <c r="D50" t="s">
        <v>4</v>
      </c>
      <c r="E50">
        <f>'Sold units'!$F10</f>
        <v>548</v>
      </c>
      <c r="F50" s="14">
        <f>'Sale value'!$F10</f>
        <v>6811.6399999999994</v>
      </c>
    </row>
    <row r="51" spans="1:6" x14ac:dyDescent="0.3">
      <c r="A51" t="s">
        <v>0</v>
      </c>
      <c r="B51" t="s">
        <v>13</v>
      </c>
      <c r="C51" t="s">
        <v>15</v>
      </c>
      <c r="D51" t="s">
        <v>4</v>
      </c>
      <c r="E51">
        <f>'Sold units'!$F11</f>
        <v>847</v>
      </c>
      <c r="F51" s="14">
        <f>'Sale value'!$F11</f>
        <v>4810.96</v>
      </c>
    </row>
    <row r="52" spans="1:6" x14ac:dyDescent="0.3">
      <c r="A52" t="s">
        <v>0</v>
      </c>
      <c r="B52" t="s">
        <v>13</v>
      </c>
      <c r="C52" t="s">
        <v>102</v>
      </c>
      <c r="D52" t="s">
        <v>4</v>
      </c>
      <c r="E52">
        <f>'Sold units'!$F12</f>
        <v>1395</v>
      </c>
      <c r="F52" s="14">
        <f>'Sale value'!$F12</f>
        <v>11622.599999999999</v>
      </c>
    </row>
    <row r="53" spans="1:6" x14ac:dyDescent="0.3">
      <c r="A53" t="s">
        <v>0</v>
      </c>
      <c r="B53" t="s">
        <v>17</v>
      </c>
      <c r="C53" t="s">
        <v>14</v>
      </c>
      <c r="D53" t="s">
        <v>4</v>
      </c>
      <c r="E53">
        <f>'Sold units'!$F13</f>
        <v>145</v>
      </c>
      <c r="F53" s="14">
        <f>'Sale value'!$F13</f>
        <v>2293.9</v>
      </c>
    </row>
    <row r="54" spans="1:6" x14ac:dyDescent="0.3">
      <c r="A54" t="s">
        <v>0</v>
      </c>
      <c r="B54" t="s">
        <v>17</v>
      </c>
      <c r="C54" t="s">
        <v>102</v>
      </c>
      <c r="D54" t="s">
        <v>4</v>
      </c>
      <c r="E54">
        <f>'Sold units'!$F14</f>
        <v>145</v>
      </c>
      <c r="F54" s="14">
        <f>'Sale value'!$F14</f>
        <v>2293.9</v>
      </c>
    </row>
    <row r="55" spans="1:6" x14ac:dyDescent="0.3">
      <c r="A55" t="s">
        <v>0</v>
      </c>
      <c r="B55" t="s">
        <v>19</v>
      </c>
      <c r="C55" t="s">
        <v>20</v>
      </c>
      <c r="D55" t="s">
        <v>4</v>
      </c>
      <c r="E55">
        <f>'Sold units'!$F15</f>
        <v>854</v>
      </c>
      <c r="F55" s="14">
        <f>'Sale value'!$F15</f>
        <v>11657.1</v>
      </c>
    </row>
    <row r="56" spans="1:6" x14ac:dyDescent="0.3">
      <c r="A56" t="s">
        <v>0</v>
      </c>
      <c r="B56" t="s">
        <v>19</v>
      </c>
      <c r="C56" t="s">
        <v>102</v>
      </c>
      <c r="D56" t="s">
        <v>4</v>
      </c>
      <c r="E56">
        <f>'Sold units'!$F16</f>
        <v>854</v>
      </c>
      <c r="F56" s="14">
        <f>'Sale value'!$F16</f>
        <v>11657.1</v>
      </c>
    </row>
    <row r="57" spans="1:6" x14ac:dyDescent="0.3">
      <c r="A57" t="s">
        <v>0</v>
      </c>
      <c r="B57" t="s">
        <v>101</v>
      </c>
      <c r="C57" t="s">
        <v>102</v>
      </c>
      <c r="D57" t="s">
        <v>4</v>
      </c>
      <c r="E57">
        <f>'Sold units'!$F17</f>
        <v>3424</v>
      </c>
      <c r="F57" s="14">
        <f>'Sale value'!$F17</f>
        <v>33932.899999999994</v>
      </c>
    </row>
    <row r="58" spans="1:6" x14ac:dyDescent="0.3">
      <c r="A58" t="s">
        <v>0</v>
      </c>
      <c r="B58" t="s">
        <v>23</v>
      </c>
      <c r="C58" t="s">
        <v>18</v>
      </c>
      <c r="D58" t="s">
        <v>5</v>
      </c>
      <c r="E58">
        <f>'Sold units'!$G4</f>
        <v>214</v>
      </c>
      <c r="F58" s="14">
        <f>'Sale value'!$G4</f>
        <v>1703.44</v>
      </c>
    </row>
    <row r="59" spans="1:6" x14ac:dyDescent="0.3">
      <c r="A59" t="s">
        <v>0</v>
      </c>
      <c r="B59" t="s">
        <v>23</v>
      </c>
      <c r="C59" t="s">
        <v>24</v>
      </c>
      <c r="D59" t="s">
        <v>5</v>
      </c>
      <c r="E59">
        <f>'Sold units'!$G5</f>
        <v>258</v>
      </c>
      <c r="F59" s="14">
        <f>'Sale value'!$G5</f>
        <v>2995.3799999999997</v>
      </c>
    </row>
    <row r="60" spans="1:6" x14ac:dyDescent="0.3">
      <c r="A60" t="s">
        <v>0</v>
      </c>
      <c r="B60" t="s">
        <v>23</v>
      </c>
      <c r="C60" t="s">
        <v>102</v>
      </c>
      <c r="D60" t="s">
        <v>5</v>
      </c>
      <c r="E60">
        <f>'Sold units'!$G6</f>
        <v>472</v>
      </c>
      <c r="F60" s="14">
        <f>'Sale value'!$G6</f>
        <v>4698.82</v>
      </c>
    </row>
    <row r="61" spans="1:6" x14ac:dyDescent="0.3">
      <c r="A61" t="s">
        <v>0</v>
      </c>
      <c r="B61" t="s">
        <v>21</v>
      </c>
      <c r="C61" t="s">
        <v>16</v>
      </c>
      <c r="D61" t="s">
        <v>5</v>
      </c>
      <c r="E61">
        <f>'Sold units'!$G7</f>
        <v>571</v>
      </c>
      <c r="F61" s="14">
        <f>'Sale value'!$G7</f>
        <v>2872.13</v>
      </c>
    </row>
    <row r="62" spans="1:6" x14ac:dyDescent="0.3">
      <c r="A62" t="s">
        <v>0</v>
      </c>
      <c r="B62" t="s">
        <v>21</v>
      </c>
      <c r="C62" t="s">
        <v>22</v>
      </c>
      <c r="D62" t="s">
        <v>5</v>
      </c>
      <c r="E62">
        <f>'Sold units'!$G8</f>
        <v>568</v>
      </c>
      <c r="F62" s="14">
        <f>'Sale value'!$G8</f>
        <v>8531.36</v>
      </c>
    </row>
    <row r="63" spans="1:6" x14ac:dyDescent="0.3">
      <c r="A63" t="s">
        <v>0</v>
      </c>
      <c r="B63" t="s">
        <v>21</v>
      </c>
      <c r="C63" t="s">
        <v>102</v>
      </c>
      <c r="D63" t="s">
        <v>5</v>
      </c>
      <c r="E63">
        <f>'Sold units'!$G9</f>
        <v>1139</v>
      </c>
      <c r="F63" s="14">
        <f>'Sale value'!$G9</f>
        <v>11403.490000000002</v>
      </c>
    </row>
    <row r="64" spans="1:6" x14ac:dyDescent="0.3">
      <c r="A64" t="s">
        <v>0</v>
      </c>
      <c r="B64" t="s">
        <v>13</v>
      </c>
      <c r="C64" t="s">
        <v>12</v>
      </c>
      <c r="D64" t="s">
        <v>5</v>
      </c>
      <c r="E64">
        <f>'Sold units'!$G10</f>
        <v>845</v>
      </c>
      <c r="F64" s="14">
        <f>'Sale value'!$G10</f>
        <v>5441.8</v>
      </c>
    </row>
    <row r="65" spans="1:6" x14ac:dyDescent="0.3">
      <c r="A65" t="s">
        <v>0</v>
      </c>
      <c r="B65" t="s">
        <v>13</v>
      </c>
      <c r="C65" t="s">
        <v>15</v>
      </c>
      <c r="D65" t="s">
        <v>5</v>
      </c>
      <c r="E65">
        <f>'Sold units'!$G11</f>
        <v>254</v>
      </c>
      <c r="F65" s="14">
        <f>'Sale value'!$G11</f>
        <v>3794.7599999999998</v>
      </c>
    </row>
    <row r="66" spans="1:6" x14ac:dyDescent="0.3">
      <c r="A66" t="s">
        <v>0</v>
      </c>
      <c r="B66" t="s">
        <v>13</v>
      </c>
      <c r="C66" t="s">
        <v>102</v>
      </c>
      <c r="D66" t="s">
        <v>5</v>
      </c>
      <c r="E66">
        <f>'Sold units'!$G12</f>
        <v>1099</v>
      </c>
      <c r="F66" s="14">
        <f>'Sale value'!$G12</f>
        <v>9236.56</v>
      </c>
    </row>
    <row r="67" spans="1:6" x14ac:dyDescent="0.3">
      <c r="A67" t="s">
        <v>0</v>
      </c>
      <c r="B67" t="s">
        <v>17</v>
      </c>
      <c r="C67" t="s">
        <v>14</v>
      </c>
      <c r="D67" t="s">
        <v>5</v>
      </c>
      <c r="E67">
        <f>'Sold units'!$G13</f>
        <v>854</v>
      </c>
      <c r="F67" s="14">
        <f>'Sale value'!$G13</f>
        <v>10444.42</v>
      </c>
    </row>
    <row r="68" spans="1:6" x14ac:dyDescent="0.3">
      <c r="A68" t="s">
        <v>0</v>
      </c>
      <c r="B68" t="s">
        <v>17</v>
      </c>
      <c r="C68" t="s">
        <v>102</v>
      </c>
      <c r="D68" t="s">
        <v>5</v>
      </c>
      <c r="E68">
        <f>'Sold units'!$G14</f>
        <v>854</v>
      </c>
      <c r="F68" s="14">
        <f>'Sale value'!$G14</f>
        <v>10444.42</v>
      </c>
    </row>
    <row r="69" spans="1:6" x14ac:dyDescent="0.3">
      <c r="A69" t="s">
        <v>0</v>
      </c>
      <c r="B69" t="s">
        <v>19</v>
      </c>
      <c r="C69" t="s">
        <v>20</v>
      </c>
      <c r="D69" t="s">
        <v>5</v>
      </c>
      <c r="E69">
        <f>'Sold units'!$G15</f>
        <v>154</v>
      </c>
      <c r="F69" s="14">
        <f>'Sale value'!$G15</f>
        <v>1085.7</v>
      </c>
    </row>
    <row r="70" spans="1:6" x14ac:dyDescent="0.3">
      <c r="A70" t="s">
        <v>0</v>
      </c>
      <c r="B70" t="s">
        <v>19</v>
      </c>
      <c r="C70" t="s">
        <v>102</v>
      </c>
      <c r="D70" t="s">
        <v>5</v>
      </c>
      <c r="E70">
        <f>'Sold units'!$G16</f>
        <v>154</v>
      </c>
      <c r="F70" s="14">
        <f>'Sale value'!$G16</f>
        <v>1085.7</v>
      </c>
    </row>
    <row r="71" spans="1:6" x14ac:dyDescent="0.3">
      <c r="A71" t="s">
        <v>0</v>
      </c>
      <c r="B71" t="s">
        <v>101</v>
      </c>
      <c r="C71" t="s">
        <v>102</v>
      </c>
      <c r="D71" t="s">
        <v>5</v>
      </c>
      <c r="E71">
        <f>'Sold units'!$G17</f>
        <v>3718</v>
      </c>
      <c r="F71" s="14">
        <f>'Sale value'!$G17</f>
        <v>36868.990000000005</v>
      </c>
    </row>
    <row r="72" spans="1:6" x14ac:dyDescent="0.3">
      <c r="A72" t="s">
        <v>0</v>
      </c>
      <c r="B72" t="s">
        <v>23</v>
      </c>
      <c r="C72" t="s">
        <v>18</v>
      </c>
      <c r="D72" t="s">
        <v>2</v>
      </c>
      <c r="E72">
        <f>'Sold units'!$H4</f>
        <v>985</v>
      </c>
      <c r="F72" s="14">
        <f>'Sale value'!$H4</f>
        <v>9790.9</v>
      </c>
    </row>
    <row r="73" spans="1:6" x14ac:dyDescent="0.3">
      <c r="A73" t="s">
        <v>0</v>
      </c>
      <c r="B73" t="s">
        <v>23</v>
      </c>
      <c r="C73" t="s">
        <v>24</v>
      </c>
      <c r="D73" t="s">
        <v>2</v>
      </c>
      <c r="E73">
        <f>'Sold units'!$H5</f>
        <v>635</v>
      </c>
      <c r="F73" s="14">
        <f>'Sale value'!$H5</f>
        <v>8591.5499999999993</v>
      </c>
    </row>
    <row r="74" spans="1:6" x14ac:dyDescent="0.3">
      <c r="A74" t="s">
        <v>0</v>
      </c>
      <c r="B74" t="s">
        <v>23</v>
      </c>
      <c r="C74" t="s">
        <v>102</v>
      </c>
      <c r="D74" t="s">
        <v>2</v>
      </c>
      <c r="E74">
        <f>'Sold units'!$H6</f>
        <v>1620</v>
      </c>
      <c r="F74" s="14">
        <f>'Sale value'!$H6</f>
        <v>18382.449999999997</v>
      </c>
    </row>
    <row r="75" spans="1:6" x14ac:dyDescent="0.3">
      <c r="A75" t="s">
        <v>0</v>
      </c>
      <c r="B75" t="s">
        <v>21</v>
      </c>
      <c r="C75" t="s">
        <v>16</v>
      </c>
      <c r="D75" t="s">
        <v>2</v>
      </c>
      <c r="E75">
        <f>'Sold units'!$H7</f>
        <v>695</v>
      </c>
      <c r="F75" s="14">
        <f>'Sale value'!$H7</f>
        <v>8360.85</v>
      </c>
    </row>
    <row r="76" spans="1:6" x14ac:dyDescent="0.3">
      <c r="A76" t="s">
        <v>0</v>
      </c>
      <c r="B76" t="s">
        <v>21</v>
      </c>
      <c r="C76" t="s">
        <v>22</v>
      </c>
      <c r="D76" t="s">
        <v>2</v>
      </c>
      <c r="E76">
        <f>'Sold units'!$H8</f>
        <v>374</v>
      </c>
      <c r="F76" s="14">
        <f>'Sale value'!$H8</f>
        <v>3407.14</v>
      </c>
    </row>
    <row r="77" spans="1:6" x14ac:dyDescent="0.3">
      <c r="A77" t="s">
        <v>0</v>
      </c>
      <c r="B77" t="s">
        <v>21</v>
      </c>
      <c r="C77" t="s">
        <v>102</v>
      </c>
      <c r="D77" t="s">
        <v>2</v>
      </c>
      <c r="E77">
        <f>'Sold units'!$H9</f>
        <v>1069</v>
      </c>
      <c r="F77" s="14">
        <f>'Sale value'!$H9</f>
        <v>11767.99</v>
      </c>
    </row>
    <row r="78" spans="1:6" x14ac:dyDescent="0.3">
      <c r="A78" t="s">
        <v>0</v>
      </c>
      <c r="B78" t="s">
        <v>13</v>
      </c>
      <c r="C78" t="s">
        <v>12</v>
      </c>
      <c r="D78" t="s">
        <v>2</v>
      </c>
      <c r="E78">
        <f>'Sold units'!$H10</f>
        <v>248</v>
      </c>
      <c r="F78" s="14">
        <f>'Sale value'!$H10</f>
        <v>2675.9199999999996</v>
      </c>
    </row>
    <row r="79" spans="1:6" x14ac:dyDescent="0.3">
      <c r="A79" t="s">
        <v>0</v>
      </c>
      <c r="B79" t="s">
        <v>13</v>
      </c>
      <c r="C79" t="s">
        <v>15</v>
      </c>
      <c r="D79" t="s">
        <v>2</v>
      </c>
      <c r="E79">
        <f>'Sold units'!$H11</f>
        <v>145</v>
      </c>
      <c r="F79" s="14">
        <f>'Sale value'!$H11</f>
        <v>841</v>
      </c>
    </row>
    <row r="80" spans="1:6" x14ac:dyDescent="0.3">
      <c r="A80" t="s">
        <v>0</v>
      </c>
      <c r="B80" t="s">
        <v>13</v>
      </c>
      <c r="C80" t="s">
        <v>102</v>
      </c>
      <c r="D80" t="s">
        <v>2</v>
      </c>
      <c r="E80">
        <f>'Sold units'!$H12</f>
        <v>393</v>
      </c>
      <c r="F80" s="14">
        <f>'Sale value'!$H12</f>
        <v>3516.9199999999996</v>
      </c>
    </row>
    <row r="81" spans="1:6" x14ac:dyDescent="0.3">
      <c r="A81" t="s">
        <v>0</v>
      </c>
      <c r="B81" t="s">
        <v>17</v>
      </c>
      <c r="C81" t="s">
        <v>14</v>
      </c>
      <c r="D81" t="s">
        <v>2</v>
      </c>
      <c r="E81">
        <f>'Sold units'!$H13</f>
        <v>947</v>
      </c>
      <c r="F81" s="14">
        <f>'Sale value'!$H13</f>
        <v>11212.48</v>
      </c>
    </row>
    <row r="82" spans="1:6" x14ac:dyDescent="0.3">
      <c r="A82" t="s">
        <v>0</v>
      </c>
      <c r="B82" t="s">
        <v>17</v>
      </c>
      <c r="C82" t="s">
        <v>102</v>
      </c>
      <c r="D82" t="s">
        <v>2</v>
      </c>
      <c r="E82">
        <f>'Sold units'!$H14</f>
        <v>947</v>
      </c>
      <c r="F82" s="14">
        <f>'Sale value'!$H14</f>
        <v>11212.48</v>
      </c>
    </row>
    <row r="83" spans="1:6" x14ac:dyDescent="0.3">
      <c r="A83" t="s">
        <v>0</v>
      </c>
      <c r="B83" t="s">
        <v>19</v>
      </c>
      <c r="C83" t="s">
        <v>20</v>
      </c>
      <c r="D83" t="s">
        <v>2</v>
      </c>
      <c r="E83">
        <f>'Sold units'!$H15</f>
        <v>856</v>
      </c>
      <c r="F83" s="14">
        <f>'Sale value'!$H15</f>
        <v>5632.4800000000005</v>
      </c>
    </row>
    <row r="84" spans="1:6" x14ac:dyDescent="0.3">
      <c r="A84" t="s">
        <v>0</v>
      </c>
      <c r="B84" t="s">
        <v>19</v>
      </c>
      <c r="C84" t="s">
        <v>102</v>
      </c>
      <c r="D84" t="s">
        <v>2</v>
      </c>
      <c r="E84">
        <f>'Sold units'!$H16</f>
        <v>856</v>
      </c>
      <c r="F84" s="14">
        <f>'Sale value'!$H16</f>
        <v>5632.4800000000005</v>
      </c>
    </row>
    <row r="85" spans="1:6" x14ac:dyDescent="0.3">
      <c r="A85" t="s">
        <v>0</v>
      </c>
      <c r="B85" t="s">
        <v>101</v>
      </c>
      <c r="C85" t="s">
        <v>102</v>
      </c>
      <c r="D85" t="s">
        <v>2</v>
      </c>
      <c r="E85">
        <f>'Sold units'!$H17</f>
        <v>4885</v>
      </c>
      <c r="F85" s="14">
        <f>'Sale value'!$H17</f>
        <v>50512.319999999992</v>
      </c>
    </row>
    <row r="86" spans="1:6" x14ac:dyDescent="0.3">
      <c r="A86" t="s">
        <v>0</v>
      </c>
      <c r="B86" t="s">
        <v>23</v>
      </c>
      <c r="C86" t="s">
        <v>18</v>
      </c>
      <c r="D86" t="s">
        <v>8</v>
      </c>
      <c r="E86">
        <f>'Sold units'!$I4</f>
        <v>154</v>
      </c>
      <c r="F86" s="14">
        <f>'Sale value'!$I4</f>
        <v>1064.1400000000001</v>
      </c>
    </row>
    <row r="87" spans="1:6" x14ac:dyDescent="0.3">
      <c r="A87" t="s">
        <v>0</v>
      </c>
      <c r="B87" t="s">
        <v>23</v>
      </c>
      <c r="C87" t="s">
        <v>24</v>
      </c>
      <c r="D87" t="s">
        <v>8</v>
      </c>
      <c r="E87">
        <f>'Sold units'!$I5</f>
        <v>325</v>
      </c>
      <c r="F87" s="14">
        <f>'Sale value'!$I5</f>
        <v>4891.25</v>
      </c>
    </row>
    <row r="88" spans="1:6" x14ac:dyDescent="0.3">
      <c r="A88" t="s">
        <v>0</v>
      </c>
      <c r="B88" t="s">
        <v>23</v>
      </c>
      <c r="C88" t="s">
        <v>102</v>
      </c>
      <c r="D88" t="s">
        <v>8</v>
      </c>
      <c r="E88">
        <f>'Sold units'!$I6</f>
        <v>479</v>
      </c>
      <c r="F88" s="14">
        <f>'Sale value'!$I6</f>
        <v>5955.39</v>
      </c>
    </row>
    <row r="89" spans="1:6" x14ac:dyDescent="0.3">
      <c r="A89" t="s">
        <v>0</v>
      </c>
      <c r="B89" t="s">
        <v>21</v>
      </c>
      <c r="C89" t="s">
        <v>16</v>
      </c>
      <c r="D89" t="s">
        <v>8</v>
      </c>
      <c r="E89">
        <f>'Sold units'!$I7</f>
        <v>154</v>
      </c>
      <c r="F89" s="14">
        <f>'Sale value'!$I7</f>
        <v>2062.06</v>
      </c>
    </row>
    <row r="90" spans="1:6" x14ac:dyDescent="0.3">
      <c r="A90" t="s">
        <v>0</v>
      </c>
      <c r="B90" t="s">
        <v>21</v>
      </c>
      <c r="C90" t="s">
        <v>22</v>
      </c>
      <c r="D90" t="s">
        <v>8</v>
      </c>
      <c r="E90">
        <f>'Sold units'!$I8</f>
        <v>546</v>
      </c>
      <c r="F90" s="14">
        <f>'Sale value'!$I8</f>
        <v>7360.08</v>
      </c>
    </row>
    <row r="91" spans="1:6" x14ac:dyDescent="0.3">
      <c r="A91" t="s">
        <v>0</v>
      </c>
      <c r="B91" t="s">
        <v>21</v>
      </c>
      <c r="C91" t="s">
        <v>102</v>
      </c>
      <c r="D91" t="s">
        <v>8</v>
      </c>
      <c r="E91">
        <f>'Sold units'!$I9</f>
        <v>700</v>
      </c>
      <c r="F91" s="14">
        <f>'Sale value'!$I9</f>
        <v>9422.14</v>
      </c>
    </row>
    <row r="92" spans="1:6" x14ac:dyDescent="0.3">
      <c r="A92" t="s">
        <v>0</v>
      </c>
      <c r="B92" t="s">
        <v>13</v>
      </c>
      <c r="C92" t="s">
        <v>12</v>
      </c>
      <c r="D92" t="s">
        <v>8</v>
      </c>
      <c r="E92">
        <f>'Sold units'!$I10</f>
        <v>685</v>
      </c>
      <c r="F92" s="14">
        <f>'Sale value'!$I10</f>
        <v>4555.25</v>
      </c>
    </row>
    <row r="93" spans="1:6" x14ac:dyDescent="0.3">
      <c r="A93" t="s">
        <v>0</v>
      </c>
      <c r="B93" t="s">
        <v>13</v>
      </c>
      <c r="C93" t="s">
        <v>15</v>
      </c>
      <c r="D93" t="s">
        <v>8</v>
      </c>
      <c r="E93">
        <f>'Sold units'!$I11</f>
        <v>458</v>
      </c>
      <c r="F93" s="14">
        <f>'Sale value'!$I11</f>
        <v>4410.54</v>
      </c>
    </row>
    <row r="94" spans="1:6" x14ac:dyDescent="0.3">
      <c r="A94" t="s">
        <v>0</v>
      </c>
      <c r="B94" t="s">
        <v>13</v>
      </c>
      <c r="C94" t="s">
        <v>102</v>
      </c>
      <c r="D94" t="s">
        <v>8</v>
      </c>
      <c r="E94">
        <f>'Sold units'!$I12</f>
        <v>1143</v>
      </c>
      <c r="F94" s="14">
        <f>'Sale value'!$I12</f>
        <v>8965.7900000000009</v>
      </c>
    </row>
    <row r="95" spans="1:6" x14ac:dyDescent="0.3">
      <c r="A95" t="s">
        <v>0</v>
      </c>
      <c r="B95" t="s">
        <v>17</v>
      </c>
      <c r="C95" t="s">
        <v>14</v>
      </c>
      <c r="D95" t="s">
        <v>8</v>
      </c>
      <c r="E95">
        <f>'Sold units'!$I13</f>
        <v>584</v>
      </c>
      <c r="F95" s="14">
        <f>'Sale value'!$I13</f>
        <v>4023.7599999999998</v>
      </c>
    </row>
    <row r="96" spans="1:6" x14ac:dyDescent="0.3">
      <c r="A96" t="s">
        <v>0</v>
      </c>
      <c r="B96" t="s">
        <v>17</v>
      </c>
      <c r="C96" t="s">
        <v>102</v>
      </c>
      <c r="D96" t="s">
        <v>8</v>
      </c>
      <c r="E96">
        <f>'Sold units'!$I14</f>
        <v>584</v>
      </c>
      <c r="F96" s="14">
        <f>'Sale value'!$I14</f>
        <v>4023.7599999999998</v>
      </c>
    </row>
    <row r="97" spans="1:6" x14ac:dyDescent="0.3">
      <c r="A97" t="s">
        <v>0</v>
      </c>
      <c r="B97" t="s">
        <v>19</v>
      </c>
      <c r="C97" t="s">
        <v>20</v>
      </c>
      <c r="D97" t="s">
        <v>8</v>
      </c>
      <c r="E97">
        <f>'Sold units'!$I15</f>
        <v>854</v>
      </c>
      <c r="F97" s="14">
        <f>'Sale value'!$I15</f>
        <v>12690.439999999999</v>
      </c>
    </row>
    <row r="98" spans="1:6" x14ac:dyDescent="0.3">
      <c r="A98" t="s">
        <v>0</v>
      </c>
      <c r="B98" t="s">
        <v>19</v>
      </c>
      <c r="C98" t="s">
        <v>102</v>
      </c>
      <c r="D98" t="s">
        <v>8</v>
      </c>
      <c r="E98">
        <f>'Sold units'!$I16</f>
        <v>854</v>
      </c>
      <c r="F98" s="14">
        <f>'Sale value'!$I16</f>
        <v>12690.439999999999</v>
      </c>
    </row>
    <row r="99" spans="1:6" x14ac:dyDescent="0.3">
      <c r="A99" t="s">
        <v>0</v>
      </c>
      <c r="B99" t="s">
        <v>101</v>
      </c>
      <c r="C99" t="s">
        <v>102</v>
      </c>
      <c r="D99" t="s">
        <v>8</v>
      </c>
      <c r="E99">
        <f>'Sold units'!$I17</f>
        <v>3760</v>
      </c>
      <c r="F99" s="14">
        <f>'Sale value'!$I17</f>
        <v>41057.519999999997</v>
      </c>
    </row>
    <row r="100" spans="1:6" x14ac:dyDescent="0.3">
      <c r="A100" t="s">
        <v>0</v>
      </c>
      <c r="B100" t="s">
        <v>23</v>
      </c>
      <c r="C100" t="s">
        <v>18</v>
      </c>
      <c r="D100" t="s">
        <v>6</v>
      </c>
      <c r="E100">
        <f>'Sold units'!$J4</f>
        <v>1568</v>
      </c>
      <c r="F100" s="14">
        <f>'Sale value'!$J4</f>
        <v>14542.93</v>
      </c>
    </row>
    <row r="101" spans="1:6" x14ac:dyDescent="0.3">
      <c r="A101" t="s">
        <v>0</v>
      </c>
      <c r="B101" t="s">
        <v>23</v>
      </c>
      <c r="C101" t="s">
        <v>24</v>
      </c>
      <c r="D101" t="s">
        <v>6</v>
      </c>
      <c r="E101">
        <f>'Sold units'!$J5</f>
        <v>1377</v>
      </c>
      <c r="F101" s="14">
        <f>'Sale value'!$J5</f>
        <v>18297.14</v>
      </c>
    </row>
    <row r="102" spans="1:6" x14ac:dyDescent="0.3">
      <c r="A102" t="s">
        <v>0</v>
      </c>
      <c r="B102" t="s">
        <v>23</v>
      </c>
      <c r="C102" t="s">
        <v>102</v>
      </c>
      <c r="D102" t="s">
        <v>6</v>
      </c>
      <c r="E102">
        <f>'Sold units'!$J6</f>
        <v>2945</v>
      </c>
      <c r="F102" s="14">
        <f>'Sale value'!$J6</f>
        <v>32840.07</v>
      </c>
    </row>
    <row r="103" spans="1:6" x14ac:dyDescent="0.3">
      <c r="A103" t="s">
        <v>0</v>
      </c>
      <c r="B103" t="s">
        <v>21</v>
      </c>
      <c r="C103" t="s">
        <v>16</v>
      </c>
      <c r="D103" t="s">
        <v>6</v>
      </c>
      <c r="E103">
        <f>'Sold units'!$J7</f>
        <v>1577</v>
      </c>
      <c r="F103" s="14">
        <f>'Sale value'!$J7</f>
        <v>15141.359999999999</v>
      </c>
    </row>
    <row r="104" spans="1:6" x14ac:dyDescent="0.3">
      <c r="A104" t="s">
        <v>0</v>
      </c>
      <c r="B104" t="s">
        <v>21</v>
      </c>
      <c r="C104" t="s">
        <v>22</v>
      </c>
      <c r="D104" t="s">
        <v>6</v>
      </c>
      <c r="E104">
        <f>'Sold units'!$J8</f>
        <v>1987</v>
      </c>
      <c r="F104" s="14">
        <f>'Sale value'!$J8</f>
        <v>22008.15</v>
      </c>
    </row>
    <row r="105" spans="1:6" x14ac:dyDescent="0.3">
      <c r="A105" t="s">
        <v>0</v>
      </c>
      <c r="B105" t="s">
        <v>21</v>
      </c>
      <c r="C105" t="s">
        <v>102</v>
      </c>
      <c r="D105" t="s">
        <v>6</v>
      </c>
      <c r="E105">
        <f>'Sold units'!$J9</f>
        <v>3564</v>
      </c>
      <c r="F105" s="14">
        <f>'Sale value'!$J9</f>
        <v>37149.51</v>
      </c>
    </row>
    <row r="106" spans="1:6" x14ac:dyDescent="0.3">
      <c r="A106" t="s">
        <v>0</v>
      </c>
      <c r="B106" t="s">
        <v>13</v>
      </c>
      <c r="C106" t="s">
        <v>12</v>
      </c>
      <c r="D106" t="s">
        <v>6</v>
      </c>
      <c r="E106">
        <f>'Sold units'!$J10</f>
        <v>2326</v>
      </c>
      <c r="F106" s="14">
        <f>'Sale value'!$J10</f>
        <v>19484.61</v>
      </c>
    </row>
    <row r="107" spans="1:6" x14ac:dyDescent="0.3">
      <c r="A107" t="s">
        <v>0</v>
      </c>
      <c r="B107" t="s">
        <v>13</v>
      </c>
      <c r="C107" t="s">
        <v>15</v>
      </c>
      <c r="D107" t="s">
        <v>6</v>
      </c>
      <c r="E107">
        <f>'Sold units'!$J11</f>
        <v>1704</v>
      </c>
      <c r="F107" s="14">
        <f>'Sale value'!$J11</f>
        <v>13857.259999999998</v>
      </c>
    </row>
    <row r="108" spans="1:6" x14ac:dyDescent="0.3">
      <c r="A108" t="s">
        <v>0</v>
      </c>
      <c r="B108" t="s">
        <v>13</v>
      </c>
      <c r="C108" t="s">
        <v>102</v>
      </c>
      <c r="D108" t="s">
        <v>6</v>
      </c>
      <c r="E108">
        <f>'Sold units'!$J12</f>
        <v>4030</v>
      </c>
      <c r="F108" s="14">
        <f>'Sale value'!$J12</f>
        <v>33341.869999999995</v>
      </c>
    </row>
    <row r="109" spans="1:6" x14ac:dyDescent="0.3">
      <c r="A109" t="s">
        <v>0</v>
      </c>
      <c r="B109" t="s">
        <v>17</v>
      </c>
      <c r="C109" t="s">
        <v>14</v>
      </c>
      <c r="D109" t="s">
        <v>6</v>
      </c>
      <c r="E109">
        <f>'Sold units'!$J13</f>
        <v>2530</v>
      </c>
      <c r="F109" s="14">
        <f>'Sale value'!$J13</f>
        <v>27974.559999999998</v>
      </c>
    </row>
    <row r="110" spans="1:6" x14ac:dyDescent="0.3">
      <c r="A110" t="s">
        <v>0</v>
      </c>
      <c r="B110" t="s">
        <v>17</v>
      </c>
      <c r="C110" t="s">
        <v>102</v>
      </c>
      <c r="D110" t="s">
        <v>6</v>
      </c>
      <c r="E110">
        <f>'Sold units'!$J14</f>
        <v>2530</v>
      </c>
      <c r="F110" s="14">
        <f>'Sale value'!$J14</f>
        <v>27974.559999999998</v>
      </c>
    </row>
    <row r="111" spans="1:6" x14ac:dyDescent="0.3">
      <c r="A111" t="s">
        <v>0</v>
      </c>
      <c r="B111" t="s">
        <v>19</v>
      </c>
      <c r="C111" t="s">
        <v>20</v>
      </c>
      <c r="D111" t="s">
        <v>6</v>
      </c>
      <c r="E111">
        <f>'Sold units'!$J15</f>
        <v>2718</v>
      </c>
      <c r="F111" s="14">
        <f>'Sale value'!$J15</f>
        <v>31065.72</v>
      </c>
    </row>
    <row r="112" spans="1:6" x14ac:dyDescent="0.3">
      <c r="A112" t="s">
        <v>0</v>
      </c>
      <c r="B112" t="s">
        <v>19</v>
      </c>
      <c r="C112" t="s">
        <v>102</v>
      </c>
      <c r="D112" t="s">
        <v>6</v>
      </c>
      <c r="E112">
        <f>'Sold units'!$J16</f>
        <v>2718</v>
      </c>
      <c r="F112" s="14">
        <f>'Sale value'!$J16</f>
        <v>31065.72</v>
      </c>
    </row>
    <row r="113" spans="1:6" x14ac:dyDescent="0.3">
      <c r="A113" t="s">
        <v>0</v>
      </c>
      <c r="B113" t="s">
        <v>101</v>
      </c>
      <c r="C113" t="s">
        <v>102</v>
      </c>
      <c r="D113" t="s">
        <v>6</v>
      </c>
      <c r="E113">
        <f>'Sold units'!$J17</f>
        <v>15787</v>
      </c>
      <c r="F113" s="14">
        <f>'Sale value'!$J17</f>
        <v>162371.72999999998</v>
      </c>
    </row>
    <row r="114" spans="1:6" x14ac:dyDescent="0.3">
      <c r="A114" t="s">
        <v>0</v>
      </c>
      <c r="B114" t="s">
        <v>23</v>
      </c>
      <c r="C114" t="s">
        <v>18</v>
      </c>
      <c r="D114" t="s">
        <v>3</v>
      </c>
      <c r="E114">
        <f>'Sold units'!$K4</f>
        <v>854</v>
      </c>
      <c r="F114" s="14">
        <f>'Sale value'!$K4</f>
        <v>10307.780000000001</v>
      </c>
    </row>
    <row r="115" spans="1:6" x14ac:dyDescent="0.3">
      <c r="A115" t="s">
        <v>0</v>
      </c>
      <c r="B115" t="s">
        <v>23</v>
      </c>
      <c r="C115" t="s">
        <v>24</v>
      </c>
      <c r="D115" t="s">
        <v>3</v>
      </c>
      <c r="E115">
        <f>'Sold units'!$K5</f>
        <v>568</v>
      </c>
      <c r="F115" s="14">
        <f>'Sale value'!$K5</f>
        <v>6367.2800000000007</v>
      </c>
    </row>
    <row r="116" spans="1:6" x14ac:dyDescent="0.3">
      <c r="A116" t="s">
        <v>0</v>
      </c>
      <c r="B116" t="s">
        <v>23</v>
      </c>
      <c r="C116" t="s">
        <v>102</v>
      </c>
      <c r="D116" t="s">
        <v>3</v>
      </c>
      <c r="E116">
        <f>'Sold units'!$K6</f>
        <v>1422</v>
      </c>
      <c r="F116" s="14">
        <f>'Sale value'!$K6</f>
        <v>16675.060000000001</v>
      </c>
    </row>
    <row r="117" spans="1:6" x14ac:dyDescent="0.3">
      <c r="A117" t="s">
        <v>0</v>
      </c>
      <c r="B117" t="s">
        <v>21</v>
      </c>
      <c r="C117" t="s">
        <v>16</v>
      </c>
      <c r="D117" t="s">
        <v>3</v>
      </c>
      <c r="E117">
        <f>'Sold units'!$K7</f>
        <v>154</v>
      </c>
      <c r="F117" s="14">
        <f>'Sale value'!$K7</f>
        <v>1804.88</v>
      </c>
    </row>
    <row r="118" spans="1:6" x14ac:dyDescent="0.3">
      <c r="A118" t="s">
        <v>0</v>
      </c>
      <c r="B118" t="s">
        <v>21</v>
      </c>
      <c r="C118" t="s">
        <v>22</v>
      </c>
      <c r="D118" t="s">
        <v>3</v>
      </c>
      <c r="E118">
        <f>'Sold units'!$K8</f>
        <v>555</v>
      </c>
      <c r="F118" s="14">
        <f>'Sale value'!$K8</f>
        <v>4917.2999999999993</v>
      </c>
    </row>
    <row r="119" spans="1:6" x14ac:dyDescent="0.3">
      <c r="A119" t="s">
        <v>0</v>
      </c>
      <c r="B119" t="s">
        <v>21</v>
      </c>
      <c r="C119" t="s">
        <v>102</v>
      </c>
      <c r="D119" t="s">
        <v>3</v>
      </c>
      <c r="E119">
        <f>'Sold units'!$K9</f>
        <v>709</v>
      </c>
      <c r="F119" s="14">
        <f>'Sale value'!$K9</f>
        <v>6722.1799999999994</v>
      </c>
    </row>
    <row r="120" spans="1:6" x14ac:dyDescent="0.3">
      <c r="A120" t="s">
        <v>0</v>
      </c>
      <c r="B120" t="s">
        <v>13</v>
      </c>
      <c r="C120" t="s">
        <v>12</v>
      </c>
      <c r="D120" t="s">
        <v>3</v>
      </c>
      <c r="E120">
        <f>'Sold units'!$K10</f>
        <v>564</v>
      </c>
      <c r="F120" s="14">
        <f>'Sale value'!$K10</f>
        <v>6756.72</v>
      </c>
    </row>
    <row r="121" spans="1:6" x14ac:dyDescent="0.3">
      <c r="A121" t="s">
        <v>0</v>
      </c>
      <c r="B121" t="s">
        <v>13</v>
      </c>
      <c r="C121" t="s">
        <v>15</v>
      </c>
      <c r="D121" t="s">
        <v>3</v>
      </c>
      <c r="E121">
        <f>'Sold units'!$K11</f>
        <v>257</v>
      </c>
      <c r="F121" s="14">
        <f>'Sale value'!$K11</f>
        <v>2336.13</v>
      </c>
    </row>
    <row r="122" spans="1:6" x14ac:dyDescent="0.3">
      <c r="A122" t="s">
        <v>0</v>
      </c>
      <c r="B122" t="s">
        <v>13</v>
      </c>
      <c r="C122" t="s">
        <v>102</v>
      </c>
      <c r="D122" t="s">
        <v>3</v>
      </c>
      <c r="E122">
        <f>'Sold units'!$K12</f>
        <v>821</v>
      </c>
      <c r="F122" s="14">
        <f>'Sale value'!$K12</f>
        <v>9092.85</v>
      </c>
    </row>
    <row r="123" spans="1:6" x14ac:dyDescent="0.3">
      <c r="A123" t="s">
        <v>0</v>
      </c>
      <c r="B123" t="s">
        <v>17</v>
      </c>
      <c r="C123" t="s">
        <v>14</v>
      </c>
      <c r="D123" t="s">
        <v>3</v>
      </c>
      <c r="E123">
        <f>'Sold units'!$K13</f>
        <v>852</v>
      </c>
      <c r="F123" s="14">
        <f>'Sale value'!$K13</f>
        <v>9917.2800000000007</v>
      </c>
    </row>
    <row r="124" spans="1:6" x14ac:dyDescent="0.3">
      <c r="A124" t="s">
        <v>0</v>
      </c>
      <c r="B124" t="s">
        <v>17</v>
      </c>
      <c r="C124" t="s">
        <v>102</v>
      </c>
      <c r="D124" t="s">
        <v>3</v>
      </c>
      <c r="E124">
        <f>'Sold units'!$K14</f>
        <v>852</v>
      </c>
      <c r="F124" s="14">
        <f>'Sale value'!$K14</f>
        <v>9917.2800000000007</v>
      </c>
    </row>
    <row r="125" spans="1:6" x14ac:dyDescent="0.3">
      <c r="A125" t="s">
        <v>0</v>
      </c>
      <c r="B125" t="s">
        <v>19</v>
      </c>
      <c r="C125" t="s">
        <v>20</v>
      </c>
      <c r="D125" t="s">
        <v>3</v>
      </c>
      <c r="E125">
        <f>'Sold units'!$K15</f>
        <v>147</v>
      </c>
      <c r="F125" s="14">
        <f>'Sale value'!$K15</f>
        <v>1449.4199999999998</v>
      </c>
    </row>
    <row r="126" spans="1:6" x14ac:dyDescent="0.3">
      <c r="A126" t="s">
        <v>0</v>
      </c>
      <c r="B126" t="s">
        <v>19</v>
      </c>
      <c r="C126" t="s">
        <v>102</v>
      </c>
      <c r="D126" t="s">
        <v>3</v>
      </c>
      <c r="E126">
        <f>'Sold units'!$K16</f>
        <v>147</v>
      </c>
      <c r="F126" s="14">
        <f>'Sale value'!$K16</f>
        <v>1449.4199999999998</v>
      </c>
    </row>
    <row r="127" spans="1:6" x14ac:dyDescent="0.3">
      <c r="A127" t="s">
        <v>0</v>
      </c>
      <c r="B127" t="s">
        <v>101</v>
      </c>
      <c r="C127" t="s">
        <v>102</v>
      </c>
      <c r="D127" t="s">
        <v>3</v>
      </c>
      <c r="E127">
        <f>'Sold units'!$K17</f>
        <v>3951</v>
      </c>
      <c r="F127" s="14">
        <f>'Sale value'!$K17</f>
        <v>43856.790000000008</v>
      </c>
    </row>
    <row r="128" spans="1:6" x14ac:dyDescent="0.3">
      <c r="A128" t="s">
        <v>0</v>
      </c>
      <c r="B128" t="s">
        <v>23</v>
      </c>
      <c r="C128" t="s">
        <v>18</v>
      </c>
      <c r="D128" t="s">
        <v>7</v>
      </c>
      <c r="E128">
        <f>'Sold units'!$L4</f>
        <v>854</v>
      </c>
      <c r="F128" s="14">
        <f>'Sale value'!$L4</f>
        <v>10307.780000000001</v>
      </c>
    </row>
    <row r="129" spans="1:6" x14ac:dyDescent="0.3">
      <c r="A129" t="s">
        <v>0</v>
      </c>
      <c r="B129" t="s">
        <v>23</v>
      </c>
      <c r="C129" t="s">
        <v>24</v>
      </c>
      <c r="D129" t="s">
        <v>7</v>
      </c>
      <c r="E129">
        <f>'Sold units'!$L5</f>
        <v>568</v>
      </c>
      <c r="F129" s="14">
        <f>'Sale value'!$L5</f>
        <v>6367.2800000000007</v>
      </c>
    </row>
    <row r="130" spans="1:6" x14ac:dyDescent="0.3">
      <c r="A130" t="s">
        <v>0</v>
      </c>
      <c r="B130" t="s">
        <v>23</v>
      </c>
      <c r="C130" t="s">
        <v>102</v>
      </c>
      <c r="D130" t="s">
        <v>7</v>
      </c>
      <c r="E130">
        <f>'Sold units'!$L6</f>
        <v>1422</v>
      </c>
      <c r="F130" s="14">
        <f>'Sale value'!$L6</f>
        <v>16675.060000000001</v>
      </c>
    </row>
    <row r="131" spans="1:6" x14ac:dyDescent="0.3">
      <c r="A131" t="s">
        <v>0</v>
      </c>
      <c r="B131" t="s">
        <v>21</v>
      </c>
      <c r="C131" t="s">
        <v>16</v>
      </c>
      <c r="D131" t="s">
        <v>7</v>
      </c>
      <c r="E131">
        <f>'Sold units'!$L7</f>
        <v>154</v>
      </c>
      <c r="F131" s="14">
        <f>'Sale value'!$L7</f>
        <v>1804.88</v>
      </c>
    </row>
    <row r="132" spans="1:6" x14ac:dyDescent="0.3">
      <c r="A132" t="s">
        <v>0</v>
      </c>
      <c r="B132" t="s">
        <v>21</v>
      </c>
      <c r="C132" t="s">
        <v>22</v>
      </c>
      <c r="D132" t="s">
        <v>7</v>
      </c>
      <c r="E132">
        <f>'Sold units'!$L8</f>
        <v>555</v>
      </c>
      <c r="F132" s="14">
        <f>'Sale value'!$L8</f>
        <v>4917.2999999999993</v>
      </c>
    </row>
    <row r="133" spans="1:6" x14ac:dyDescent="0.3">
      <c r="A133" t="s">
        <v>0</v>
      </c>
      <c r="B133" t="s">
        <v>21</v>
      </c>
      <c r="C133" t="s">
        <v>102</v>
      </c>
      <c r="D133" t="s">
        <v>7</v>
      </c>
      <c r="E133">
        <f>'Sold units'!$L9</f>
        <v>709</v>
      </c>
      <c r="F133" s="14">
        <f>'Sale value'!$L9</f>
        <v>6722.1799999999994</v>
      </c>
    </row>
    <row r="134" spans="1:6" x14ac:dyDescent="0.3">
      <c r="A134" t="s">
        <v>0</v>
      </c>
      <c r="B134" t="s">
        <v>13</v>
      </c>
      <c r="C134" t="s">
        <v>12</v>
      </c>
      <c r="D134" t="s">
        <v>7</v>
      </c>
      <c r="E134">
        <f>'Sold units'!$L10</f>
        <v>564</v>
      </c>
      <c r="F134" s="14">
        <f>'Sale value'!$L10</f>
        <v>6756.72</v>
      </c>
    </row>
    <row r="135" spans="1:6" x14ac:dyDescent="0.3">
      <c r="A135" t="s">
        <v>0</v>
      </c>
      <c r="B135" t="s">
        <v>13</v>
      </c>
      <c r="C135" t="s">
        <v>15</v>
      </c>
      <c r="D135" t="s">
        <v>7</v>
      </c>
      <c r="E135">
        <f>'Sold units'!$L11</f>
        <v>257</v>
      </c>
      <c r="F135" s="14">
        <f>'Sale value'!$L11</f>
        <v>2336.13</v>
      </c>
    </row>
    <row r="136" spans="1:6" x14ac:dyDescent="0.3">
      <c r="A136" t="s">
        <v>0</v>
      </c>
      <c r="B136" t="s">
        <v>13</v>
      </c>
      <c r="C136" t="s">
        <v>102</v>
      </c>
      <c r="D136" t="s">
        <v>7</v>
      </c>
      <c r="E136">
        <f>'Sold units'!$L12</f>
        <v>821</v>
      </c>
      <c r="F136" s="14">
        <f>'Sale value'!$L12</f>
        <v>9092.85</v>
      </c>
    </row>
    <row r="137" spans="1:6" x14ac:dyDescent="0.3">
      <c r="A137" t="s">
        <v>0</v>
      </c>
      <c r="B137" t="s">
        <v>17</v>
      </c>
      <c r="C137" t="s">
        <v>14</v>
      </c>
      <c r="D137" t="s">
        <v>7</v>
      </c>
      <c r="E137">
        <f>'Sold units'!$L13</f>
        <v>852</v>
      </c>
      <c r="F137" s="14">
        <f>'Sale value'!$L13</f>
        <v>9917.2800000000007</v>
      </c>
    </row>
    <row r="138" spans="1:6" x14ac:dyDescent="0.3">
      <c r="A138" t="s">
        <v>0</v>
      </c>
      <c r="B138" t="s">
        <v>17</v>
      </c>
      <c r="C138" t="s">
        <v>102</v>
      </c>
      <c r="D138" t="s">
        <v>7</v>
      </c>
      <c r="E138">
        <f>'Sold units'!$L14</f>
        <v>852</v>
      </c>
      <c r="F138" s="14">
        <f>'Sale value'!$L14</f>
        <v>9917.2800000000007</v>
      </c>
    </row>
    <row r="139" spans="1:6" x14ac:dyDescent="0.3">
      <c r="A139" t="s">
        <v>0</v>
      </c>
      <c r="B139" t="s">
        <v>19</v>
      </c>
      <c r="C139" t="s">
        <v>20</v>
      </c>
      <c r="D139" t="s">
        <v>7</v>
      </c>
      <c r="E139">
        <f>'Sold units'!$L15</f>
        <v>147</v>
      </c>
      <c r="F139" s="14">
        <f>'Sale value'!$L15</f>
        <v>1449.4199999999998</v>
      </c>
    </row>
    <row r="140" spans="1:6" x14ac:dyDescent="0.3">
      <c r="A140" t="s">
        <v>0</v>
      </c>
      <c r="B140" t="s">
        <v>19</v>
      </c>
      <c r="C140" t="s">
        <v>102</v>
      </c>
      <c r="D140" t="s">
        <v>7</v>
      </c>
      <c r="E140">
        <f>'Sold units'!$L16</f>
        <v>147</v>
      </c>
      <c r="F140" s="14">
        <f>'Sale value'!$L16</f>
        <v>1449.4199999999998</v>
      </c>
    </row>
    <row r="141" spans="1:6" x14ac:dyDescent="0.3">
      <c r="A141" t="s">
        <v>0</v>
      </c>
      <c r="B141" t="s">
        <v>101</v>
      </c>
      <c r="C141" t="s">
        <v>102</v>
      </c>
      <c r="D141" t="s">
        <v>7</v>
      </c>
      <c r="E141">
        <f>'Sold units'!$L17</f>
        <v>3951</v>
      </c>
      <c r="F141" s="14">
        <f>'Sale value'!$L17</f>
        <v>43856.790000000008</v>
      </c>
    </row>
    <row r="142" spans="1:6" x14ac:dyDescent="0.3">
      <c r="A142" t="s">
        <v>0</v>
      </c>
      <c r="B142" t="s">
        <v>23</v>
      </c>
      <c r="C142" t="s">
        <v>18</v>
      </c>
      <c r="D142" t="s">
        <v>11</v>
      </c>
      <c r="E142">
        <f>'Sold units'!$M4</f>
        <v>290</v>
      </c>
      <c r="F142" s="14">
        <f>'Sale value'!$M4</f>
        <v>2621.6</v>
      </c>
    </row>
    <row r="143" spans="1:6" x14ac:dyDescent="0.3">
      <c r="A143" t="s">
        <v>0</v>
      </c>
      <c r="B143" t="s">
        <v>23</v>
      </c>
      <c r="C143" t="s">
        <v>24</v>
      </c>
      <c r="D143" t="s">
        <v>11</v>
      </c>
      <c r="E143">
        <f>'Sold units'!$M5</f>
        <v>426</v>
      </c>
      <c r="F143" s="14">
        <f>'Sale value'!$M5</f>
        <v>5708.4000000000005</v>
      </c>
    </row>
    <row r="144" spans="1:6" x14ac:dyDescent="0.3">
      <c r="A144" t="s">
        <v>0</v>
      </c>
      <c r="B144" t="s">
        <v>23</v>
      </c>
      <c r="C144" t="s">
        <v>102</v>
      </c>
      <c r="D144" t="s">
        <v>11</v>
      </c>
      <c r="E144">
        <f>'Sold units'!$M6</f>
        <v>716</v>
      </c>
      <c r="F144" s="14">
        <f>'Sale value'!$M6</f>
        <v>8330</v>
      </c>
    </row>
    <row r="145" spans="1:6" x14ac:dyDescent="0.3">
      <c r="A145" t="s">
        <v>0</v>
      </c>
      <c r="B145" t="s">
        <v>21</v>
      </c>
      <c r="C145" t="s">
        <v>16</v>
      </c>
      <c r="D145" t="s">
        <v>11</v>
      </c>
      <c r="E145">
        <f>'Sold units'!$M7</f>
        <v>963</v>
      </c>
      <c r="F145" s="14">
        <f>'Sale value'!$M7</f>
        <v>14782.05</v>
      </c>
    </row>
    <row r="146" spans="1:6" x14ac:dyDescent="0.3">
      <c r="A146" t="s">
        <v>0</v>
      </c>
      <c r="B146" t="s">
        <v>21</v>
      </c>
      <c r="C146" t="s">
        <v>22</v>
      </c>
      <c r="D146" t="s">
        <v>11</v>
      </c>
      <c r="E146">
        <f>'Sold units'!$M8</f>
        <v>357</v>
      </c>
      <c r="F146" s="14">
        <f>'Sale value'!$M8</f>
        <v>2441.88</v>
      </c>
    </row>
    <row r="147" spans="1:6" x14ac:dyDescent="0.3">
      <c r="A147" t="s">
        <v>0</v>
      </c>
      <c r="B147" t="s">
        <v>21</v>
      </c>
      <c r="C147" t="s">
        <v>102</v>
      </c>
      <c r="D147" t="s">
        <v>11</v>
      </c>
      <c r="E147">
        <f>'Sold units'!$M9</f>
        <v>1320</v>
      </c>
      <c r="F147" s="14">
        <f>'Sale value'!$M9</f>
        <v>17223.93</v>
      </c>
    </row>
    <row r="148" spans="1:6" x14ac:dyDescent="0.3">
      <c r="A148" t="s">
        <v>0</v>
      </c>
      <c r="B148" t="s">
        <v>13</v>
      </c>
      <c r="C148" t="s">
        <v>12</v>
      </c>
      <c r="D148" t="s">
        <v>11</v>
      </c>
      <c r="E148">
        <f>'Sold units'!$M10</f>
        <v>159</v>
      </c>
      <c r="F148" s="14">
        <f>'Sale value'!$M10</f>
        <v>1659.9599999999998</v>
      </c>
    </row>
    <row r="149" spans="1:6" x14ac:dyDescent="0.3">
      <c r="A149" t="s">
        <v>0</v>
      </c>
      <c r="B149" t="s">
        <v>13</v>
      </c>
      <c r="C149" t="s">
        <v>15</v>
      </c>
      <c r="D149" t="s">
        <v>11</v>
      </c>
      <c r="E149">
        <f>'Sold units'!$M11</f>
        <v>621</v>
      </c>
      <c r="F149" s="14">
        <f>'Sale value'!$M11</f>
        <v>4048.9199999999996</v>
      </c>
    </row>
    <row r="150" spans="1:6" x14ac:dyDescent="0.3">
      <c r="A150" t="s">
        <v>0</v>
      </c>
      <c r="B150" t="s">
        <v>13</v>
      </c>
      <c r="C150" t="s">
        <v>102</v>
      </c>
      <c r="D150" t="s">
        <v>11</v>
      </c>
      <c r="E150">
        <f>'Sold units'!$M12</f>
        <v>780</v>
      </c>
      <c r="F150" s="14">
        <f>'Sale value'!$M12</f>
        <v>5708.8799999999992</v>
      </c>
    </row>
    <row r="151" spans="1:6" x14ac:dyDescent="0.3">
      <c r="A151" t="s">
        <v>0</v>
      </c>
      <c r="B151" t="s">
        <v>17</v>
      </c>
      <c r="C151" t="s">
        <v>14</v>
      </c>
      <c r="D151" t="s">
        <v>11</v>
      </c>
      <c r="E151">
        <f>'Sold units'!$M13</f>
        <v>485</v>
      </c>
      <c r="F151" s="14">
        <f>'Sale value'!$M13</f>
        <v>7706.6500000000005</v>
      </c>
    </row>
    <row r="152" spans="1:6" x14ac:dyDescent="0.3">
      <c r="A152" t="s">
        <v>0</v>
      </c>
      <c r="B152" t="s">
        <v>17</v>
      </c>
      <c r="C152" t="s">
        <v>102</v>
      </c>
      <c r="D152" t="s">
        <v>11</v>
      </c>
      <c r="E152">
        <f>'Sold units'!$M14</f>
        <v>485</v>
      </c>
      <c r="F152" s="14">
        <f>'Sale value'!$M14</f>
        <v>7706.6500000000005</v>
      </c>
    </row>
    <row r="153" spans="1:6" x14ac:dyDescent="0.3">
      <c r="A153" t="s">
        <v>0</v>
      </c>
      <c r="B153" t="s">
        <v>19</v>
      </c>
      <c r="C153" t="s">
        <v>20</v>
      </c>
      <c r="D153" t="s">
        <v>11</v>
      </c>
      <c r="E153">
        <f>'Sold units'!$M15</f>
        <v>167</v>
      </c>
      <c r="F153" s="14">
        <f>'Sale value'!$M15</f>
        <v>958.58</v>
      </c>
    </row>
    <row r="154" spans="1:6" x14ac:dyDescent="0.3">
      <c r="A154" t="s">
        <v>0</v>
      </c>
      <c r="B154" t="s">
        <v>19</v>
      </c>
      <c r="C154" t="s">
        <v>102</v>
      </c>
      <c r="D154" t="s">
        <v>11</v>
      </c>
      <c r="E154">
        <f>'Sold units'!$M16</f>
        <v>167</v>
      </c>
      <c r="F154" s="14">
        <f>'Sale value'!$M16</f>
        <v>958.58</v>
      </c>
    </row>
    <row r="155" spans="1:6" x14ac:dyDescent="0.3">
      <c r="A155" t="s">
        <v>0</v>
      </c>
      <c r="B155" t="s">
        <v>101</v>
      </c>
      <c r="C155" t="s">
        <v>102</v>
      </c>
      <c r="D155" t="s">
        <v>11</v>
      </c>
      <c r="E155">
        <f>'Sold units'!$M17</f>
        <v>3468</v>
      </c>
      <c r="F155" s="14">
        <f>'Sale value'!$M17</f>
        <v>39928.04</v>
      </c>
    </row>
    <row r="156" spans="1:6" x14ac:dyDescent="0.3">
      <c r="A156" t="s">
        <v>0</v>
      </c>
      <c r="B156" t="s">
        <v>23</v>
      </c>
      <c r="C156" t="s">
        <v>18</v>
      </c>
      <c r="D156" t="s">
        <v>10</v>
      </c>
      <c r="E156">
        <f>'Sold units'!$N4</f>
        <v>290</v>
      </c>
      <c r="F156" s="14">
        <f>'Sale value'!$N4</f>
        <v>2621.6</v>
      </c>
    </row>
    <row r="157" spans="1:6" x14ac:dyDescent="0.3">
      <c r="A157" t="s">
        <v>0</v>
      </c>
      <c r="B157" t="s">
        <v>23</v>
      </c>
      <c r="C157" t="s">
        <v>24</v>
      </c>
      <c r="D157" t="s">
        <v>10</v>
      </c>
      <c r="E157">
        <f>'Sold units'!$N5</f>
        <v>426</v>
      </c>
      <c r="F157" s="14">
        <f>'Sale value'!$N5</f>
        <v>5708.4000000000005</v>
      </c>
    </row>
    <row r="158" spans="1:6" x14ac:dyDescent="0.3">
      <c r="A158" t="s">
        <v>0</v>
      </c>
      <c r="B158" t="s">
        <v>23</v>
      </c>
      <c r="C158" t="s">
        <v>102</v>
      </c>
      <c r="D158" t="s">
        <v>10</v>
      </c>
      <c r="E158">
        <f>'Sold units'!$N6</f>
        <v>716</v>
      </c>
      <c r="F158" s="14">
        <f>'Sale value'!$N6</f>
        <v>8330</v>
      </c>
    </row>
    <row r="159" spans="1:6" x14ac:dyDescent="0.3">
      <c r="A159" t="s">
        <v>0</v>
      </c>
      <c r="B159" t="s">
        <v>21</v>
      </c>
      <c r="C159" t="s">
        <v>16</v>
      </c>
      <c r="D159" t="s">
        <v>10</v>
      </c>
      <c r="E159">
        <f>'Sold units'!$N7</f>
        <v>963</v>
      </c>
      <c r="F159" s="14">
        <f>'Sale value'!$N7</f>
        <v>14782.05</v>
      </c>
    </row>
    <row r="160" spans="1:6" x14ac:dyDescent="0.3">
      <c r="A160" t="s">
        <v>0</v>
      </c>
      <c r="B160" t="s">
        <v>21</v>
      </c>
      <c r="C160" t="s">
        <v>22</v>
      </c>
      <c r="D160" t="s">
        <v>10</v>
      </c>
      <c r="E160">
        <f>'Sold units'!$N8</f>
        <v>357</v>
      </c>
      <c r="F160" s="14">
        <f>'Sale value'!$N8</f>
        <v>2441.88</v>
      </c>
    </row>
    <row r="161" spans="1:6" x14ac:dyDescent="0.3">
      <c r="A161" t="s">
        <v>0</v>
      </c>
      <c r="B161" t="s">
        <v>21</v>
      </c>
      <c r="C161" t="s">
        <v>102</v>
      </c>
      <c r="D161" t="s">
        <v>10</v>
      </c>
      <c r="E161">
        <f>'Sold units'!$N9</f>
        <v>1320</v>
      </c>
      <c r="F161" s="14">
        <f>'Sale value'!$N9</f>
        <v>17223.93</v>
      </c>
    </row>
    <row r="162" spans="1:6" x14ac:dyDescent="0.3">
      <c r="A162" t="s">
        <v>0</v>
      </c>
      <c r="B162" t="s">
        <v>13</v>
      </c>
      <c r="C162" t="s">
        <v>12</v>
      </c>
      <c r="D162" t="s">
        <v>10</v>
      </c>
      <c r="E162">
        <f>'Sold units'!$N10</f>
        <v>159</v>
      </c>
      <c r="F162" s="14">
        <f>'Sale value'!$N10</f>
        <v>1659.9599999999998</v>
      </c>
    </row>
    <row r="163" spans="1:6" x14ac:dyDescent="0.3">
      <c r="A163" t="s">
        <v>0</v>
      </c>
      <c r="B163" t="s">
        <v>13</v>
      </c>
      <c r="C163" t="s">
        <v>15</v>
      </c>
      <c r="D163" t="s">
        <v>10</v>
      </c>
      <c r="E163">
        <f>'Sold units'!$N11</f>
        <v>621</v>
      </c>
      <c r="F163" s="14">
        <f>'Sale value'!$N11</f>
        <v>4048.9199999999996</v>
      </c>
    </row>
    <row r="164" spans="1:6" x14ac:dyDescent="0.3">
      <c r="A164" t="s">
        <v>0</v>
      </c>
      <c r="B164" t="s">
        <v>13</v>
      </c>
      <c r="C164" t="s">
        <v>102</v>
      </c>
      <c r="D164" t="s">
        <v>10</v>
      </c>
      <c r="E164">
        <f>'Sold units'!$N12</f>
        <v>780</v>
      </c>
      <c r="F164" s="14">
        <f>'Sale value'!$N12</f>
        <v>5708.8799999999992</v>
      </c>
    </row>
    <row r="165" spans="1:6" x14ac:dyDescent="0.3">
      <c r="A165" t="s">
        <v>0</v>
      </c>
      <c r="B165" t="s">
        <v>17</v>
      </c>
      <c r="C165" t="s">
        <v>14</v>
      </c>
      <c r="D165" t="s">
        <v>10</v>
      </c>
      <c r="E165">
        <f>'Sold units'!$N13</f>
        <v>485</v>
      </c>
      <c r="F165" s="14">
        <f>'Sale value'!$N13</f>
        <v>7706.6500000000005</v>
      </c>
    </row>
    <row r="166" spans="1:6" x14ac:dyDescent="0.3">
      <c r="A166" t="s">
        <v>0</v>
      </c>
      <c r="B166" t="s">
        <v>17</v>
      </c>
      <c r="C166" t="s">
        <v>102</v>
      </c>
      <c r="D166" t="s">
        <v>10</v>
      </c>
      <c r="E166">
        <f>'Sold units'!$N14</f>
        <v>485</v>
      </c>
      <c r="F166" s="14">
        <f>'Sale value'!$N14</f>
        <v>7706.6500000000005</v>
      </c>
    </row>
    <row r="167" spans="1:6" x14ac:dyDescent="0.3">
      <c r="A167" t="s">
        <v>0</v>
      </c>
      <c r="B167" t="s">
        <v>19</v>
      </c>
      <c r="C167" t="s">
        <v>20</v>
      </c>
      <c r="D167" t="s">
        <v>10</v>
      </c>
      <c r="E167">
        <f>'Sold units'!$N15</f>
        <v>167</v>
      </c>
      <c r="F167" s="14">
        <f>'Sale value'!$N15</f>
        <v>958.58</v>
      </c>
    </row>
    <row r="168" spans="1:6" x14ac:dyDescent="0.3">
      <c r="A168" t="s">
        <v>0</v>
      </c>
      <c r="B168" t="s">
        <v>19</v>
      </c>
      <c r="C168" t="s">
        <v>102</v>
      </c>
      <c r="D168" t="s">
        <v>10</v>
      </c>
      <c r="E168">
        <f>'Sold units'!$N16</f>
        <v>167</v>
      </c>
      <c r="F168" s="14">
        <f>'Sale value'!$N16</f>
        <v>958.58</v>
      </c>
    </row>
    <row r="169" spans="1:6" x14ac:dyDescent="0.3">
      <c r="A169" t="s">
        <v>0</v>
      </c>
      <c r="B169" t="s">
        <v>101</v>
      </c>
      <c r="C169" t="s">
        <v>102</v>
      </c>
      <c r="D169" t="s">
        <v>10</v>
      </c>
      <c r="E169">
        <f>'Sold units'!$N17</f>
        <v>3468</v>
      </c>
      <c r="F169" s="14">
        <f>'Sale value'!$N17</f>
        <v>39928.04</v>
      </c>
    </row>
    <row r="170" spans="1:6" x14ac:dyDescent="0.3">
      <c r="A170" t="s">
        <v>0</v>
      </c>
      <c r="B170" t="s">
        <v>23</v>
      </c>
      <c r="C170" t="s">
        <v>18</v>
      </c>
      <c r="D170" t="s">
        <v>69</v>
      </c>
      <c r="E170">
        <f>'Sold units'!$O4</f>
        <v>4109</v>
      </c>
      <c r="F170" s="14">
        <f>'Sale value'!$O4</f>
        <v>39279.89</v>
      </c>
    </row>
    <row r="171" spans="1:6" x14ac:dyDescent="0.3">
      <c r="A171" t="s">
        <v>0</v>
      </c>
      <c r="B171" t="s">
        <v>23</v>
      </c>
      <c r="C171" t="s">
        <v>24</v>
      </c>
      <c r="D171" t="s">
        <v>69</v>
      </c>
      <c r="E171">
        <f>'Sold units'!$O5</f>
        <v>3087</v>
      </c>
      <c r="F171" s="14">
        <f>'Sale value'!$O5</f>
        <v>37486.229999999996</v>
      </c>
    </row>
    <row r="172" spans="1:6" x14ac:dyDescent="0.3">
      <c r="A172" t="s">
        <v>0</v>
      </c>
      <c r="B172" t="s">
        <v>23</v>
      </c>
      <c r="C172" t="s">
        <v>102</v>
      </c>
      <c r="D172" t="s">
        <v>69</v>
      </c>
      <c r="E172">
        <f>'Sold units'!$O6</f>
        <v>7196</v>
      </c>
      <c r="F172" s="14">
        <f>'Sale value'!$O6</f>
        <v>76766.12000000001</v>
      </c>
    </row>
    <row r="173" spans="1:6" x14ac:dyDescent="0.3">
      <c r="A173" t="s">
        <v>0</v>
      </c>
      <c r="B173" t="s">
        <v>21</v>
      </c>
      <c r="C173" t="s">
        <v>16</v>
      </c>
      <c r="D173" t="s">
        <v>69</v>
      </c>
      <c r="E173">
        <f>'Sold units'!$O7</f>
        <v>3144</v>
      </c>
      <c r="F173" s="14">
        <f>'Sale value'!$O7</f>
        <v>35852.639999999999</v>
      </c>
    </row>
    <row r="174" spans="1:6" x14ac:dyDescent="0.3">
      <c r="A174" t="s">
        <v>0</v>
      </c>
      <c r="B174" t="s">
        <v>21</v>
      </c>
      <c r="C174" t="s">
        <v>22</v>
      </c>
      <c r="D174" t="s">
        <v>69</v>
      </c>
      <c r="E174">
        <f>'Sold units'!$O8</f>
        <v>4427</v>
      </c>
      <c r="F174" s="14">
        <f>'Sale value'!$O8</f>
        <v>45756.05</v>
      </c>
    </row>
    <row r="175" spans="1:6" x14ac:dyDescent="0.3">
      <c r="A175" t="s">
        <v>0</v>
      </c>
      <c r="B175" t="s">
        <v>21</v>
      </c>
      <c r="C175" t="s">
        <v>102</v>
      </c>
      <c r="D175" t="s">
        <v>69</v>
      </c>
      <c r="E175">
        <f>'Sold units'!$O9</f>
        <v>7571</v>
      </c>
      <c r="F175" s="14">
        <f>'Sale value'!$O9</f>
        <v>81608.69</v>
      </c>
    </row>
    <row r="176" spans="1:6" x14ac:dyDescent="0.3">
      <c r="A176" t="s">
        <v>0</v>
      </c>
      <c r="B176" t="s">
        <v>13</v>
      </c>
      <c r="C176" t="s">
        <v>12</v>
      </c>
      <c r="D176" t="s">
        <v>69</v>
      </c>
      <c r="E176">
        <f>'Sold units'!$O10</f>
        <v>4354</v>
      </c>
      <c r="F176" s="14">
        <f>'Sale value'!$O10</f>
        <v>43254.93</v>
      </c>
    </row>
    <row r="177" spans="1:6" x14ac:dyDescent="0.3">
      <c r="A177" t="s">
        <v>0</v>
      </c>
      <c r="B177" t="s">
        <v>13</v>
      </c>
      <c r="C177" t="s">
        <v>15</v>
      </c>
      <c r="D177" t="s">
        <v>69</v>
      </c>
      <c r="E177">
        <f>'Sold units'!$O11</f>
        <v>3790</v>
      </c>
      <c r="F177" s="14">
        <f>'Sale value'!$O11</f>
        <v>38203.11</v>
      </c>
    </row>
    <row r="178" spans="1:6" x14ac:dyDescent="0.3">
      <c r="A178" t="s">
        <v>0</v>
      </c>
      <c r="B178" t="s">
        <v>13</v>
      </c>
      <c r="C178" t="s">
        <v>102</v>
      </c>
      <c r="D178" t="s">
        <v>69</v>
      </c>
      <c r="E178">
        <f>'Sold units'!$O12</f>
        <v>8144</v>
      </c>
      <c r="F178" s="14">
        <f>'Sale value'!$O12</f>
        <v>81458.039999999994</v>
      </c>
    </row>
    <row r="179" spans="1:6" x14ac:dyDescent="0.3">
      <c r="A179" t="s">
        <v>0</v>
      </c>
      <c r="B179" t="s">
        <v>17</v>
      </c>
      <c r="C179" t="s">
        <v>14</v>
      </c>
      <c r="D179" t="s">
        <v>69</v>
      </c>
      <c r="E179">
        <f>'Sold units'!$O13</f>
        <v>4333</v>
      </c>
      <c r="F179" s="14">
        <f>'Sale value'!$O13</f>
        <v>50367.07</v>
      </c>
    </row>
    <row r="180" spans="1:6" x14ac:dyDescent="0.3">
      <c r="A180" t="s">
        <v>0</v>
      </c>
      <c r="B180" t="s">
        <v>17</v>
      </c>
      <c r="C180" t="s">
        <v>102</v>
      </c>
      <c r="D180" t="s">
        <v>69</v>
      </c>
      <c r="E180">
        <f>'Sold units'!$O14</f>
        <v>4333</v>
      </c>
      <c r="F180" s="14">
        <f>'Sale value'!$O14</f>
        <v>50367.07</v>
      </c>
    </row>
    <row r="181" spans="1:6" x14ac:dyDescent="0.3">
      <c r="A181" t="s">
        <v>0</v>
      </c>
      <c r="B181" t="s">
        <v>19</v>
      </c>
      <c r="C181" t="s">
        <v>20</v>
      </c>
      <c r="D181" t="s">
        <v>69</v>
      </c>
      <c r="E181">
        <f>'Sold units'!$O15</f>
        <v>3829</v>
      </c>
      <c r="F181" s="14">
        <f>'Sale value'!$O15</f>
        <v>40953.050000000003</v>
      </c>
    </row>
    <row r="182" spans="1:6" x14ac:dyDescent="0.3">
      <c r="A182" t="s">
        <v>0</v>
      </c>
      <c r="B182" t="s">
        <v>19</v>
      </c>
      <c r="C182" t="s">
        <v>102</v>
      </c>
      <c r="D182" t="s">
        <v>69</v>
      </c>
      <c r="E182">
        <f>'Sold units'!$O16</f>
        <v>3829</v>
      </c>
      <c r="F182" s="14">
        <f>'Sale value'!$O16</f>
        <v>40953.050000000003</v>
      </c>
    </row>
    <row r="183" spans="1:6" x14ac:dyDescent="0.3">
      <c r="A183" t="s">
        <v>0</v>
      </c>
      <c r="B183" t="s">
        <v>101</v>
      </c>
      <c r="C183" t="s">
        <v>102</v>
      </c>
      <c r="D183" t="s">
        <v>69</v>
      </c>
      <c r="E183">
        <f>'Sold units'!$O17</f>
        <v>31073</v>
      </c>
      <c r="F183" s="14">
        <f>'Sale value'!$O17</f>
        <v>331152.96999999997</v>
      </c>
    </row>
    <row r="184" spans="1:6" x14ac:dyDescent="0.3">
      <c r="A184" t="s">
        <v>36</v>
      </c>
      <c r="B184" t="s">
        <v>23</v>
      </c>
      <c r="C184" t="s">
        <v>18</v>
      </c>
      <c r="D184" t="s">
        <v>1</v>
      </c>
      <c r="E184">
        <f>'Sold units'!$P4</f>
        <v>847</v>
      </c>
      <c r="F184" s="14">
        <f>'Sale value'!$P4</f>
        <v>12417.02</v>
      </c>
    </row>
    <row r="185" spans="1:6" x14ac:dyDescent="0.3">
      <c r="A185" t="s">
        <v>36</v>
      </c>
      <c r="B185" t="s">
        <v>23</v>
      </c>
      <c r="C185" t="s">
        <v>24</v>
      </c>
      <c r="D185" t="s">
        <v>1</v>
      </c>
      <c r="E185">
        <f>'Sold units'!$P5</f>
        <v>154</v>
      </c>
      <c r="F185" s="14">
        <f>'Sale value'!$P5</f>
        <v>2285.36</v>
      </c>
    </row>
    <row r="186" spans="1:6" x14ac:dyDescent="0.3">
      <c r="A186" t="s">
        <v>36</v>
      </c>
      <c r="B186" t="s">
        <v>23</v>
      </c>
      <c r="C186" t="s">
        <v>102</v>
      </c>
      <c r="D186" t="s">
        <v>1</v>
      </c>
      <c r="E186">
        <f>'Sold units'!$P6</f>
        <v>1001</v>
      </c>
      <c r="F186" s="14">
        <f>'Sale value'!$P6</f>
        <v>14702.380000000001</v>
      </c>
    </row>
    <row r="187" spans="1:6" x14ac:dyDescent="0.3">
      <c r="A187" t="s">
        <v>36</v>
      </c>
      <c r="B187" t="s">
        <v>21</v>
      </c>
      <c r="C187" t="s">
        <v>16</v>
      </c>
      <c r="D187" t="s">
        <v>1</v>
      </c>
      <c r="E187">
        <f>'Sold units'!$P7</f>
        <v>145</v>
      </c>
      <c r="F187" s="14">
        <f>'Sale value'!$P7</f>
        <v>1170.1500000000001</v>
      </c>
    </row>
    <row r="188" spans="1:6" x14ac:dyDescent="0.3">
      <c r="A188" t="s">
        <v>36</v>
      </c>
      <c r="B188" t="s">
        <v>21</v>
      </c>
      <c r="C188" t="s">
        <v>22</v>
      </c>
      <c r="D188" t="s">
        <v>1</v>
      </c>
      <c r="E188">
        <f>'Sold units'!$P8</f>
        <v>658</v>
      </c>
      <c r="F188" s="14">
        <f>'Sale value'!$P8</f>
        <v>9435.7199999999993</v>
      </c>
    </row>
    <row r="189" spans="1:6" x14ac:dyDescent="0.3">
      <c r="A189" t="s">
        <v>36</v>
      </c>
      <c r="B189" t="s">
        <v>21</v>
      </c>
      <c r="C189" t="s">
        <v>102</v>
      </c>
      <c r="D189" t="s">
        <v>1</v>
      </c>
      <c r="E189">
        <f>'Sold units'!$P9</f>
        <v>803</v>
      </c>
      <c r="F189" s="14">
        <f>'Sale value'!$P9</f>
        <v>10605.869999999999</v>
      </c>
    </row>
    <row r="190" spans="1:6" x14ac:dyDescent="0.3">
      <c r="A190" t="s">
        <v>36</v>
      </c>
      <c r="B190" t="s">
        <v>13</v>
      </c>
      <c r="C190" t="s">
        <v>12</v>
      </c>
      <c r="D190" t="s">
        <v>1</v>
      </c>
      <c r="E190">
        <f>'Sold units'!$P10</f>
        <v>258</v>
      </c>
      <c r="F190" s="14">
        <f>'Sale value'!$P10</f>
        <v>3090.84</v>
      </c>
    </row>
    <row r="191" spans="1:6" x14ac:dyDescent="0.3">
      <c r="A191" t="s">
        <v>36</v>
      </c>
      <c r="B191" t="s">
        <v>13</v>
      </c>
      <c r="C191" t="s">
        <v>15</v>
      </c>
      <c r="D191" t="s">
        <v>1</v>
      </c>
      <c r="E191">
        <f>'Sold units'!$P11</f>
        <v>659</v>
      </c>
      <c r="F191" s="14">
        <f>'Sale value'!$P11</f>
        <v>8026.62</v>
      </c>
    </row>
    <row r="192" spans="1:6" x14ac:dyDescent="0.3">
      <c r="A192" t="s">
        <v>36</v>
      </c>
      <c r="B192" t="s">
        <v>13</v>
      </c>
      <c r="C192" t="s">
        <v>102</v>
      </c>
      <c r="D192" t="s">
        <v>1</v>
      </c>
      <c r="E192">
        <f>'Sold units'!$P12</f>
        <v>917</v>
      </c>
      <c r="F192" s="14">
        <f>'Sale value'!$P12</f>
        <v>11117.46</v>
      </c>
    </row>
    <row r="193" spans="1:6" x14ac:dyDescent="0.3">
      <c r="A193" t="s">
        <v>36</v>
      </c>
      <c r="B193" t="s">
        <v>17</v>
      </c>
      <c r="C193" t="s">
        <v>14</v>
      </c>
      <c r="D193" t="s">
        <v>1</v>
      </c>
      <c r="E193">
        <f>'Sold units'!$P13</f>
        <v>326</v>
      </c>
      <c r="F193" s="14">
        <f>'Sale value'!$P13</f>
        <v>3941.34</v>
      </c>
    </row>
    <row r="194" spans="1:6" x14ac:dyDescent="0.3">
      <c r="A194" t="s">
        <v>36</v>
      </c>
      <c r="B194" t="s">
        <v>17</v>
      </c>
      <c r="C194" t="s">
        <v>102</v>
      </c>
      <c r="D194" t="s">
        <v>1</v>
      </c>
      <c r="E194">
        <f>'Sold units'!$P14</f>
        <v>326</v>
      </c>
      <c r="F194" s="14">
        <f>'Sale value'!$P14</f>
        <v>3941.34</v>
      </c>
    </row>
    <row r="195" spans="1:6" x14ac:dyDescent="0.3">
      <c r="A195" t="s">
        <v>36</v>
      </c>
      <c r="B195" t="s">
        <v>19</v>
      </c>
      <c r="C195" t="s">
        <v>20</v>
      </c>
      <c r="D195" t="s">
        <v>1</v>
      </c>
      <c r="E195">
        <f>'Sold units'!$P15</f>
        <v>254</v>
      </c>
      <c r="F195" s="14">
        <f>'Sale value'!$P15</f>
        <v>1371.6000000000001</v>
      </c>
    </row>
    <row r="196" spans="1:6" x14ac:dyDescent="0.3">
      <c r="A196" t="s">
        <v>36</v>
      </c>
      <c r="B196" t="s">
        <v>19</v>
      </c>
      <c r="C196" t="s">
        <v>102</v>
      </c>
      <c r="D196" t="s">
        <v>1</v>
      </c>
      <c r="E196">
        <f>'Sold units'!$P16</f>
        <v>254</v>
      </c>
      <c r="F196" s="14">
        <f>'Sale value'!$P16</f>
        <v>1371.6000000000001</v>
      </c>
    </row>
    <row r="197" spans="1:6" x14ac:dyDescent="0.3">
      <c r="A197" t="s">
        <v>36</v>
      </c>
      <c r="B197" t="s">
        <v>101</v>
      </c>
      <c r="C197" t="s">
        <v>102</v>
      </c>
      <c r="D197" t="s">
        <v>1</v>
      </c>
      <c r="E197">
        <f>'Sold units'!$P17</f>
        <v>3301</v>
      </c>
      <c r="F197" s="14">
        <f>'Sale value'!$P17</f>
        <v>41738.65</v>
      </c>
    </row>
    <row r="198" spans="1:6" x14ac:dyDescent="0.3">
      <c r="A198" t="s">
        <v>36</v>
      </c>
      <c r="B198" t="s">
        <v>23</v>
      </c>
      <c r="C198" t="s">
        <v>18</v>
      </c>
      <c r="D198" t="s">
        <v>103</v>
      </c>
      <c r="E198">
        <f>'Sold units'!$Q4</f>
        <v>452</v>
      </c>
      <c r="F198" s="14">
        <f>'Sale value'!$Q4</f>
        <v>6391.2800000000007</v>
      </c>
    </row>
    <row r="199" spans="1:6" x14ac:dyDescent="0.3">
      <c r="A199" t="s">
        <v>36</v>
      </c>
      <c r="B199" t="s">
        <v>23</v>
      </c>
      <c r="C199" t="s">
        <v>24</v>
      </c>
      <c r="D199" t="s">
        <v>103</v>
      </c>
      <c r="E199">
        <f>'Sold units'!$Q5</f>
        <v>236</v>
      </c>
      <c r="F199" s="14">
        <f>'Sale value'!$Q5</f>
        <v>2024.88</v>
      </c>
    </row>
    <row r="200" spans="1:6" x14ac:dyDescent="0.3">
      <c r="A200" t="s">
        <v>36</v>
      </c>
      <c r="B200" t="s">
        <v>23</v>
      </c>
      <c r="C200" t="s">
        <v>102</v>
      </c>
      <c r="D200" t="s">
        <v>103</v>
      </c>
      <c r="E200">
        <f>'Sold units'!$Q6</f>
        <v>688</v>
      </c>
      <c r="F200" s="14">
        <f>'Sale value'!$Q6</f>
        <v>8416.16</v>
      </c>
    </row>
    <row r="201" spans="1:6" x14ac:dyDescent="0.3">
      <c r="A201" t="s">
        <v>36</v>
      </c>
      <c r="B201" t="s">
        <v>21</v>
      </c>
      <c r="C201" t="s">
        <v>16</v>
      </c>
      <c r="D201" t="s">
        <v>103</v>
      </c>
      <c r="E201">
        <f>'Sold units'!$Q7</f>
        <v>214</v>
      </c>
      <c r="F201" s="14">
        <f>'Sale value'!$Q7</f>
        <v>2510.2200000000003</v>
      </c>
    </row>
    <row r="202" spans="1:6" x14ac:dyDescent="0.3">
      <c r="A202" t="s">
        <v>36</v>
      </c>
      <c r="B202" t="s">
        <v>21</v>
      </c>
      <c r="C202" t="s">
        <v>22</v>
      </c>
      <c r="D202" t="s">
        <v>103</v>
      </c>
      <c r="E202">
        <f>'Sold units'!$Q8</f>
        <v>125</v>
      </c>
      <c r="F202" s="14">
        <f>'Sale value'!$Q8</f>
        <v>1806.25</v>
      </c>
    </row>
    <row r="203" spans="1:6" x14ac:dyDescent="0.3">
      <c r="A203" t="s">
        <v>36</v>
      </c>
      <c r="B203" t="s">
        <v>21</v>
      </c>
      <c r="C203" t="s">
        <v>102</v>
      </c>
      <c r="D203" t="s">
        <v>103</v>
      </c>
      <c r="E203">
        <f>'Sold units'!$Q9</f>
        <v>339</v>
      </c>
      <c r="F203" s="14">
        <f>'Sale value'!$Q9</f>
        <v>4316.47</v>
      </c>
    </row>
    <row r="204" spans="1:6" x14ac:dyDescent="0.3">
      <c r="A204" t="s">
        <v>36</v>
      </c>
      <c r="B204" t="s">
        <v>13</v>
      </c>
      <c r="C204" t="s">
        <v>12</v>
      </c>
      <c r="D204" t="s">
        <v>103</v>
      </c>
      <c r="E204">
        <f>'Sold units'!$Q10</f>
        <v>256</v>
      </c>
      <c r="F204" s="14">
        <f>'Sale value'!$Q10</f>
        <v>3379.2</v>
      </c>
    </row>
    <row r="205" spans="1:6" x14ac:dyDescent="0.3">
      <c r="A205" t="s">
        <v>36</v>
      </c>
      <c r="B205" t="s">
        <v>13</v>
      </c>
      <c r="C205" t="s">
        <v>15</v>
      </c>
      <c r="D205" t="s">
        <v>103</v>
      </c>
      <c r="E205">
        <f>'Sold units'!$Q11</f>
        <v>145</v>
      </c>
      <c r="F205" s="14">
        <f>'Sale value'!$Q11</f>
        <v>1425.35</v>
      </c>
    </row>
    <row r="206" spans="1:6" x14ac:dyDescent="0.3">
      <c r="A206" t="s">
        <v>36</v>
      </c>
      <c r="B206" t="s">
        <v>13</v>
      </c>
      <c r="C206" t="s">
        <v>102</v>
      </c>
      <c r="D206" t="s">
        <v>103</v>
      </c>
      <c r="E206">
        <f>'Sold units'!$Q12</f>
        <v>401</v>
      </c>
      <c r="F206" s="14">
        <f>'Sale value'!$Q12</f>
        <v>4804.5499999999993</v>
      </c>
    </row>
    <row r="207" spans="1:6" x14ac:dyDescent="0.3">
      <c r="A207" t="s">
        <v>36</v>
      </c>
      <c r="B207" t="s">
        <v>17</v>
      </c>
      <c r="C207" t="s">
        <v>14</v>
      </c>
      <c r="D207" t="s">
        <v>103</v>
      </c>
      <c r="E207">
        <f>'Sold units'!$Q13</f>
        <v>152</v>
      </c>
      <c r="F207" s="14">
        <f>'Sale value'!$Q13</f>
        <v>1424.2399999999998</v>
      </c>
    </row>
    <row r="208" spans="1:6" x14ac:dyDescent="0.3">
      <c r="A208" t="s">
        <v>36</v>
      </c>
      <c r="B208" t="s">
        <v>17</v>
      </c>
      <c r="C208" t="s">
        <v>102</v>
      </c>
      <c r="D208" t="s">
        <v>103</v>
      </c>
      <c r="E208">
        <f>'Sold units'!$Q14</f>
        <v>152</v>
      </c>
      <c r="F208" s="14">
        <f>'Sale value'!$Q14</f>
        <v>1424.2399999999998</v>
      </c>
    </row>
    <row r="209" spans="1:6" x14ac:dyDescent="0.3">
      <c r="A209" t="s">
        <v>36</v>
      </c>
      <c r="B209" t="s">
        <v>19</v>
      </c>
      <c r="C209" t="s">
        <v>20</v>
      </c>
      <c r="D209" t="s">
        <v>103</v>
      </c>
      <c r="E209">
        <f>'Sold units'!$Q15</f>
        <v>256</v>
      </c>
      <c r="F209" s="14">
        <f>'Sale value'!$Q15</f>
        <v>3801.6</v>
      </c>
    </row>
    <row r="210" spans="1:6" x14ac:dyDescent="0.3">
      <c r="A210" t="s">
        <v>36</v>
      </c>
      <c r="B210" t="s">
        <v>19</v>
      </c>
      <c r="C210" t="s">
        <v>102</v>
      </c>
      <c r="D210" t="s">
        <v>103</v>
      </c>
      <c r="E210">
        <f>'Sold units'!$Q16</f>
        <v>256</v>
      </c>
      <c r="F210" s="14">
        <f>'Sale value'!$Q16</f>
        <v>3801.6</v>
      </c>
    </row>
    <row r="211" spans="1:6" x14ac:dyDescent="0.3">
      <c r="A211" t="s">
        <v>36</v>
      </c>
      <c r="B211" t="s">
        <v>101</v>
      </c>
      <c r="C211" t="s">
        <v>102</v>
      </c>
      <c r="D211" t="s">
        <v>103</v>
      </c>
      <c r="E211">
        <f>'Sold units'!$Q17</f>
        <v>1836</v>
      </c>
      <c r="F211" s="14">
        <f>'Sale value'!$Q17</f>
        <v>22763.02</v>
      </c>
    </row>
    <row r="212" spans="1:6" x14ac:dyDescent="0.3">
      <c r="A212" t="s">
        <v>36</v>
      </c>
      <c r="B212" t="s">
        <v>23</v>
      </c>
      <c r="C212" t="s">
        <v>18</v>
      </c>
      <c r="D212" t="s">
        <v>9</v>
      </c>
      <c r="E212">
        <f>'Sold units'!$R4</f>
        <v>1299</v>
      </c>
      <c r="F212" s="14">
        <f>'Sale value'!$R4</f>
        <v>18808.300000000003</v>
      </c>
    </row>
    <row r="213" spans="1:6" x14ac:dyDescent="0.3">
      <c r="A213" t="s">
        <v>36</v>
      </c>
      <c r="B213" t="s">
        <v>23</v>
      </c>
      <c r="C213" t="s">
        <v>24</v>
      </c>
      <c r="D213" t="s">
        <v>9</v>
      </c>
      <c r="E213">
        <f>'Sold units'!$R5</f>
        <v>390</v>
      </c>
      <c r="F213" s="14">
        <f>'Sale value'!$R5</f>
        <v>4310.24</v>
      </c>
    </row>
    <row r="214" spans="1:6" x14ac:dyDescent="0.3">
      <c r="A214" t="s">
        <v>36</v>
      </c>
      <c r="B214" t="s">
        <v>23</v>
      </c>
      <c r="C214" t="s">
        <v>102</v>
      </c>
      <c r="D214" t="s">
        <v>9</v>
      </c>
      <c r="E214">
        <f>'Sold units'!$R6</f>
        <v>1689</v>
      </c>
      <c r="F214" s="14">
        <f>'Sale value'!$R6</f>
        <v>23118.54</v>
      </c>
    </row>
    <row r="215" spans="1:6" x14ac:dyDescent="0.3">
      <c r="A215" t="s">
        <v>36</v>
      </c>
      <c r="B215" t="s">
        <v>21</v>
      </c>
      <c r="C215" t="s">
        <v>16</v>
      </c>
      <c r="D215" t="s">
        <v>9</v>
      </c>
      <c r="E215">
        <f>'Sold units'!$R7</f>
        <v>359</v>
      </c>
      <c r="F215" s="14">
        <f>'Sale value'!$R7</f>
        <v>3680.3700000000003</v>
      </c>
    </row>
    <row r="216" spans="1:6" x14ac:dyDescent="0.3">
      <c r="A216" t="s">
        <v>36</v>
      </c>
      <c r="B216" t="s">
        <v>21</v>
      </c>
      <c r="C216" t="s">
        <v>22</v>
      </c>
      <c r="D216" t="s">
        <v>9</v>
      </c>
      <c r="E216">
        <f>'Sold units'!$R8</f>
        <v>783</v>
      </c>
      <c r="F216" s="14">
        <f>'Sale value'!$R8</f>
        <v>11241.97</v>
      </c>
    </row>
    <row r="217" spans="1:6" x14ac:dyDescent="0.3">
      <c r="A217" t="s">
        <v>36</v>
      </c>
      <c r="B217" t="s">
        <v>21</v>
      </c>
      <c r="C217" t="s">
        <v>102</v>
      </c>
      <c r="D217" t="s">
        <v>9</v>
      </c>
      <c r="E217">
        <f>'Sold units'!$R9</f>
        <v>1142</v>
      </c>
      <c r="F217" s="14">
        <f>'Sale value'!$R9</f>
        <v>14922.34</v>
      </c>
    </row>
    <row r="218" spans="1:6" x14ac:dyDescent="0.3">
      <c r="A218" t="s">
        <v>36</v>
      </c>
      <c r="B218" t="s">
        <v>13</v>
      </c>
      <c r="C218" t="s">
        <v>12</v>
      </c>
      <c r="D218" t="s">
        <v>9</v>
      </c>
      <c r="E218">
        <f>'Sold units'!$R10</f>
        <v>514</v>
      </c>
      <c r="F218" s="14">
        <f>'Sale value'!$R10</f>
        <v>6470.04</v>
      </c>
    </row>
    <row r="219" spans="1:6" x14ac:dyDescent="0.3">
      <c r="A219" t="s">
        <v>36</v>
      </c>
      <c r="B219" t="s">
        <v>13</v>
      </c>
      <c r="C219" t="s">
        <v>15</v>
      </c>
      <c r="D219" t="s">
        <v>9</v>
      </c>
      <c r="E219">
        <f>'Sold units'!$R11</f>
        <v>804</v>
      </c>
      <c r="F219" s="14">
        <f>'Sale value'!$R11</f>
        <v>9451.9699999999993</v>
      </c>
    </row>
    <row r="220" spans="1:6" x14ac:dyDescent="0.3">
      <c r="A220" t="s">
        <v>36</v>
      </c>
      <c r="B220" t="s">
        <v>13</v>
      </c>
      <c r="C220" t="s">
        <v>102</v>
      </c>
      <c r="D220" t="s">
        <v>9</v>
      </c>
      <c r="E220">
        <f>'Sold units'!$R12</f>
        <v>1318</v>
      </c>
      <c r="F220" s="14">
        <f>'Sale value'!$R12</f>
        <v>15922.009999999998</v>
      </c>
    </row>
    <row r="221" spans="1:6" x14ac:dyDescent="0.3">
      <c r="A221" t="s">
        <v>36</v>
      </c>
      <c r="B221" t="s">
        <v>17</v>
      </c>
      <c r="C221" t="s">
        <v>14</v>
      </c>
      <c r="D221" t="s">
        <v>9</v>
      </c>
      <c r="E221">
        <f>'Sold units'!$R13</f>
        <v>478</v>
      </c>
      <c r="F221" s="14">
        <f>'Sale value'!$R13</f>
        <v>5365.58</v>
      </c>
    </row>
    <row r="222" spans="1:6" x14ac:dyDescent="0.3">
      <c r="A222" t="s">
        <v>36</v>
      </c>
      <c r="B222" t="s">
        <v>17</v>
      </c>
      <c r="C222" t="s">
        <v>102</v>
      </c>
      <c r="D222" t="s">
        <v>9</v>
      </c>
      <c r="E222">
        <f>'Sold units'!$R14</f>
        <v>478</v>
      </c>
      <c r="F222" s="14">
        <f>'Sale value'!$R14</f>
        <v>5365.58</v>
      </c>
    </row>
    <row r="223" spans="1:6" x14ac:dyDescent="0.3">
      <c r="A223" t="s">
        <v>36</v>
      </c>
      <c r="B223" t="s">
        <v>19</v>
      </c>
      <c r="C223" t="s">
        <v>20</v>
      </c>
      <c r="D223" t="s">
        <v>9</v>
      </c>
      <c r="E223">
        <f>'Sold units'!$R15</f>
        <v>510</v>
      </c>
      <c r="F223" s="14">
        <f>'Sale value'!$R15</f>
        <v>5173.2</v>
      </c>
    </row>
    <row r="224" spans="1:6" x14ac:dyDescent="0.3">
      <c r="A224" t="s">
        <v>36</v>
      </c>
      <c r="B224" t="s">
        <v>19</v>
      </c>
      <c r="C224" t="s">
        <v>102</v>
      </c>
      <c r="D224" t="s">
        <v>9</v>
      </c>
      <c r="E224">
        <f>'Sold units'!$R16</f>
        <v>510</v>
      </c>
      <c r="F224" s="14">
        <f>'Sale value'!$R16</f>
        <v>5173.2</v>
      </c>
    </row>
    <row r="225" spans="1:6" x14ac:dyDescent="0.3">
      <c r="A225" t="s">
        <v>36</v>
      </c>
      <c r="B225" t="s">
        <v>101</v>
      </c>
      <c r="C225" t="s">
        <v>102</v>
      </c>
      <c r="D225" t="s">
        <v>9</v>
      </c>
      <c r="E225">
        <f>'Sold units'!$R17</f>
        <v>5137</v>
      </c>
      <c r="F225" s="14">
        <f>'Sale value'!$R17</f>
        <v>64501.67</v>
      </c>
    </row>
    <row r="226" spans="1:6" x14ac:dyDescent="0.3">
      <c r="A226" t="s">
        <v>36</v>
      </c>
      <c r="B226" t="s">
        <v>23</v>
      </c>
      <c r="C226" t="s">
        <v>18</v>
      </c>
      <c r="D226" t="s">
        <v>4</v>
      </c>
      <c r="E226">
        <f>'Sold units'!$S4</f>
        <v>654</v>
      </c>
      <c r="F226" s="14">
        <f>'Sale value'!$S4</f>
        <v>0</v>
      </c>
    </row>
    <row r="227" spans="1:6" x14ac:dyDescent="0.3">
      <c r="A227" t="s">
        <v>36</v>
      </c>
      <c r="B227" t="s">
        <v>23</v>
      </c>
      <c r="C227" t="s">
        <v>24</v>
      </c>
      <c r="D227" t="s">
        <v>4</v>
      </c>
      <c r="E227">
        <f>'Sold units'!$S5</f>
        <v>236</v>
      </c>
      <c r="F227" s="14">
        <f>'Sale value'!$S5</f>
        <v>0</v>
      </c>
    </row>
    <row r="228" spans="1:6" x14ac:dyDescent="0.3">
      <c r="A228" t="s">
        <v>36</v>
      </c>
      <c r="B228" t="s">
        <v>23</v>
      </c>
      <c r="C228" t="s">
        <v>102</v>
      </c>
      <c r="D228" t="s">
        <v>4</v>
      </c>
      <c r="E228">
        <f>'Sold units'!$S6</f>
        <v>890</v>
      </c>
      <c r="F228" s="14">
        <f>'Sale value'!$S6</f>
        <v>0</v>
      </c>
    </row>
    <row r="229" spans="1:6" x14ac:dyDescent="0.3">
      <c r="A229" t="s">
        <v>36</v>
      </c>
      <c r="B229" t="s">
        <v>21</v>
      </c>
      <c r="C229" t="s">
        <v>16</v>
      </c>
      <c r="D229" t="s">
        <v>4</v>
      </c>
      <c r="E229">
        <f>'Sold units'!$S7</f>
        <v>145</v>
      </c>
      <c r="F229" s="14">
        <f>'Sale value'!$S7</f>
        <v>0</v>
      </c>
    </row>
    <row r="230" spans="1:6" x14ac:dyDescent="0.3">
      <c r="A230" t="s">
        <v>36</v>
      </c>
      <c r="B230" t="s">
        <v>21</v>
      </c>
      <c r="C230" t="s">
        <v>22</v>
      </c>
      <c r="D230" t="s">
        <v>4</v>
      </c>
      <c r="E230">
        <f>'Sold units'!$S8</f>
        <v>125</v>
      </c>
      <c r="F230" s="14">
        <f>'Sale value'!$S8</f>
        <v>0</v>
      </c>
    </row>
    <row r="231" spans="1:6" x14ac:dyDescent="0.3">
      <c r="A231" t="s">
        <v>36</v>
      </c>
      <c r="B231" t="s">
        <v>21</v>
      </c>
      <c r="C231" t="s">
        <v>102</v>
      </c>
      <c r="D231" t="s">
        <v>4</v>
      </c>
      <c r="E231">
        <f>'Sold units'!$S9</f>
        <v>270</v>
      </c>
      <c r="F231" s="14">
        <f>'Sale value'!$S9</f>
        <v>0</v>
      </c>
    </row>
    <row r="232" spans="1:6" x14ac:dyDescent="0.3">
      <c r="A232" t="s">
        <v>36</v>
      </c>
      <c r="B232" t="s">
        <v>13</v>
      </c>
      <c r="C232" t="s">
        <v>12</v>
      </c>
      <c r="D232" t="s">
        <v>4</v>
      </c>
      <c r="E232">
        <f>'Sold units'!$S10</f>
        <v>256</v>
      </c>
      <c r="F232" s="14">
        <f>'Sale value'!$S10</f>
        <v>0</v>
      </c>
    </row>
    <row r="233" spans="1:6" x14ac:dyDescent="0.3">
      <c r="A233" t="s">
        <v>36</v>
      </c>
      <c r="B233" t="s">
        <v>13</v>
      </c>
      <c r="C233" t="s">
        <v>15</v>
      </c>
      <c r="D233" t="s">
        <v>4</v>
      </c>
      <c r="E233">
        <f>'Sold units'!$S11</f>
        <v>201</v>
      </c>
      <c r="F233" s="14">
        <f>'Sale value'!$S11</f>
        <v>0</v>
      </c>
    </row>
    <row r="234" spans="1:6" x14ac:dyDescent="0.3">
      <c r="A234" t="s">
        <v>36</v>
      </c>
      <c r="B234" t="s">
        <v>13</v>
      </c>
      <c r="C234" t="s">
        <v>102</v>
      </c>
      <c r="D234" t="s">
        <v>4</v>
      </c>
      <c r="E234">
        <f>'Sold units'!$S12</f>
        <v>457</v>
      </c>
      <c r="F234" s="14">
        <f>'Sale value'!$S12</f>
        <v>0</v>
      </c>
    </row>
    <row r="235" spans="1:6" x14ac:dyDescent="0.3">
      <c r="A235" t="s">
        <v>36</v>
      </c>
      <c r="B235" t="s">
        <v>17</v>
      </c>
      <c r="C235" t="s">
        <v>14</v>
      </c>
      <c r="D235" t="s">
        <v>4</v>
      </c>
      <c r="E235">
        <f>'Sold units'!$S13</f>
        <v>260</v>
      </c>
      <c r="F235" s="14">
        <f>'Sale value'!$S13</f>
        <v>0</v>
      </c>
    </row>
    <row r="236" spans="1:6" x14ac:dyDescent="0.3">
      <c r="A236" t="s">
        <v>36</v>
      </c>
      <c r="B236" t="s">
        <v>17</v>
      </c>
      <c r="C236" t="s">
        <v>102</v>
      </c>
      <c r="D236" t="s">
        <v>4</v>
      </c>
      <c r="E236">
        <f>'Sold units'!$S14</f>
        <v>260</v>
      </c>
      <c r="F236" s="14">
        <f>'Sale value'!$S14</f>
        <v>0</v>
      </c>
    </row>
    <row r="237" spans="1:6" x14ac:dyDescent="0.3">
      <c r="A237" t="s">
        <v>36</v>
      </c>
      <c r="B237" t="s">
        <v>19</v>
      </c>
      <c r="C237" t="s">
        <v>20</v>
      </c>
      <c r="D237" t="s">
        <v>4</v>
      </c>
      <c r="E237">
        <f>'Sold units'!$S15</f>
        <v>120</v>
      </c>
      <c r="F237" s="14">
        <f>'Sale value'!$S15</f>
        <v>0</v>
      </c>
    </row>
    <row r="238" spans="1:6" x14ac:dyDescent="0.3">
      <c r="A238" t="s">
        <v>36</v>
      </c>
      <c r="B238" t="s">
        <v>19</v>
      </c>
      <c r="C238" t="s">
        <v>102</v>
      </c>
      <c r="D238" t="s">
        <v>4</v>
      </c>
      <c r="E238">
        <f>'Sold units'!$S16</f>
        <v>120</v>
      </c>
      <c r="F238" s="14">
        <f>'Sale value'!$S16</f>
        <v>0</v>
      </c>
    </row>
    <row r="239" spans="1:6" x14ac:dyDescent="0.3">
      <c r="A239" t="s">
        <v>36</v>
      </c>
      <c r="B239" t="s">
        <v>101</v>
      </c>
      <c r="C239" t="s">
        <v>102</v>
      </c>
      <c r="D239" t="s">
        <v>4</v>
      </c>
      <c r="E239">
        <f>'Sold units'!$S17</f>
        <v>1997</v>
      </c>
      <c r="F239" s="14">
        <f>'Sale value'!$S17</f>
        <v>0</v>
      </c>
    </row>
    <row r="240" spans="1:6" x14ac:dyDescent="0.3">
      <c r="A240" t="s">
        <v>36</v>
      </c>
      <c r="B240" t="s">
        <v>23</v>
      </c>
      <c r="C240" t="s">
        <v>18</v>
      </c>
      <c r="D240" t="s">
        <v>5</v>
      </c>
      <c r="E240">
        <f>'Sold units'!$T4</f>
        <v>150</v>
      </c>
      <c r="F240" s="14">
        <f>'Sale value'!$T4</f>
        <v>835.5</v>
      </c>
    </row>
    <row r="241" spans="1:6" x14ac:dyDescent="0.3">
      <c r="A241" t="s">
        <v>36</v>
      </c>
      <c r="B241" t="s">
        <v>23</v>
      </c>
      <c r="C241" t="s">
        <v>24</v>
      </c>
      <c r="D241" t="s">
        <v>5</v>
      </c>
      <c r="E241">
        <f>'Sold units'!$T5</f>
        <v>650</v>
      </c>
      <c r="F241" s="14">
        <f>'Sale value'!$T5</f>
        <v>7436</v>
      </c>
    </row>
    <row r="242" spans="1:6" x14ac:dyDescent="0.3">
      <c r="A242" t="s">
        <v>36</v>
      </c>
      <c r="B242" t="s">
        <v>23</v>
      </c>
      <c r="C242" t="s">
        <v>102</v>
      </c>
      <c r="D242" t="s">
        <v>5</v>
      </c>
      <c r="E242">
        <f>'Sold units'!$T6</f>
        <v>800</v>
      </c>
      <c r="F242" s="14">
        <f>'Sale value'!$T6</f>
        <v>8271.5</v>
      </c>
    </row>
    <row r="243" spans="1:6" x14ac:dyDescent="0.3">
      <c r="A243" t="s">
        <v>36</v>
      </c>
      <c r="B243" t="s">
        <v>21</v>
      </c>
      <c r="C243" t="s">
        <v>16</v>
      </c>
      <c r="D243" t="s">
        <v>5</v>
      </c>
      <c r="E243">
        <f>'Sold units'!$T7</f>
        <v>156</v>
      </c>
      <c r="F243" s="14">
        <f>'Sale value'!$T7</f>
        <v>2379</v>
      </c>
    </row>
    <row r="244" spans="1:6" x14ac:dyDescent="0.3">
      <c r="A244" t="s">
        <v>36</v>
      </c>
      <c r="B244" t="s">
        <v>21</v>
      </c>
      <c r="C244" t="s">
        <v>22</v>
      </c>
      <c r="D244" t="s">
        <v>5</v>
      </c>
      <c r="E244">
        <f>'Sold units'!$T8</f>
        <v>150</v>
      </c>
      <c r="F244" s="14">
        <f>'Sale value'!$T8</f>
        <v>1563</v>
      </c>
    </row>
    <row r="245" spans="1:6" x14ac:dyDescent="0.3">
      <c r="A245" t="s">
        <v>36</v>
      </c>
      <c r="B245" t="s">
        <v>21</v>
      </c>
      <c r="C245" t="s">
        <v>102</v>
      </c>
      <c r="D245" t="s">
        <v>5</v>
      </c>
      <c r="E245">
        <f>'Sold units'!$T9</f>
        <v>306</v>
      </c>
      <c r="F245" s="14">
        <f>'Sale value'!$T9</f>
        <v>3942</v>
      </c>
    </row>
    <row r="246" spans="1:6" x14ac:dyDescent="0.3">
      <c r="A246" t="s">
        <v>36</v>
      </c>
      <c r="B246" t="s">
        <v>13</v>
      </c>
      <c r="C246" t="s">
        <v>12</v>
      </c>
      <c r="D246" t="s">
        <v>5</v>
      </c>
      <c r="E246">
        <f>'Sold units'!$T10</f>
        <v>156</v>
      </c>
      <c r="F246" s="14">
        <f>'Sale value'!$T10</f>
        <v>2458.56</v>
      </c>
    </row>
    <row r="247" spans="1:6" x14ac:dyDescent="0.3">
      <c r="A247" t="s">
        <v>36</v>
      </c>
      <c r="B247" t="s">
        <v>13</v>
      </c>
      <c r="C247" t="s">
        <v>15</v>
      </c>
      <c r="D247" t="s">
        <v>5</v>
      </c>
      <c r="E247">
        <f>'Sold units'!$T11</f>
        <v>541</v>
      </c>
      <c r="F247" s="14">
        <f>'Sale value'!$T11</f>
        <v>4144.0600000000004</v>
      </c>
    </row>
    <row r="248" spans="1:6" x14ac:dyDescent="0.3">
      <c r="A248" t="s">
        <v>36</v>
      </c>
      <c r="B248" t="s">
        <v>13</v>
      </c>
      <c r="C248" t="s">
        <v>102</v>
      </c>
      <c r="D248" t="s">
        <v>5</v>
      </c>
      <c r="E248">
        <f>'Sold units'!$T12</f>
        <v>697</v>
      </c>
      <c r="F248" s="14">
        <f>'Sale value'!$T12</f>
        <v>6602.6200000000008</v>
      </c>
    </row>
    <row r="249" spans="1:6" x14ac:dyDescent="0.3">
      <c r="A249" t="s">
        <v>36</v>
      </c>
      <c r="B249" t="s">
        <v>17</v>
      </c>
      <c r="C249" t="s">
        <v>14</v>
      </c>
      <c r="D249" t="s">
        <v>5</v>
      </c>
      <c r="E249">
        <f>'Sold units'!$T13</f>
        <v>698</v>
      </c>
      <c r="F249" s="14">
        <f>'Sale value'!$T13</f>
        <v>7447.66</v>
      </c>
    </row>
    <row r="250" spans="1:6" x14ac:dyDescent="0.3">
      <c r="A250" t="s">
        <v>36</v>
      </c>
      <c r="B250" t="s">
        <v>17</v>
      </c>
      <c r="C250" t="s">
        <v>102</v>
      </c>
      <c r="D250" t="s">
        <v>5</v>
      </c>
      <c r="E250">
        <f>'Sold units'!$T14</f>
        <v>698</v>
      </c>
      <c r="F250" s="14">
        <f>'Sale value'!$T14</f>
        <v>7447.66</v>
      </c>
    </row>
    <row r="251" spans="1:6" x14ac:dyDescent="0.3">
      <c r="A251" t="s">
        <v>36</v>
      </c>
      <c r="B251" t="s">
        <v>19</v>
      </c>
      <c r="C251" t="s">
        <v>20</v>
      </c>
      <c r="D251" t="s">
        <v>5</v>
      </c>
      <c r="E251">
        <f>'Sold units'!$T15</f>
        <v>570</v>
      </c>
      <c r="F251" s="14">
        <f>'Sale value'!$T15</f>
        <v>6549.3</v>
      </c>
    </row>
    <row r="252" spans="1:6" x14ac:dyDescent="0.3">
      <c r="A252" t="s">
        <v>36</v>
      </c>
      <c r="B252" t="s">
        <v>19</v>
      </c>
      <c r="C252" t="s">
        <v>102</v>
      </c>
      <c r="D252" t="s">
        <v>5</v>
      </c>
      <c r="E252">
        <f>'Sold units'!$T16</f>
        <v>570</v>
      </c>
      <c r="F252" s="14">
        <f>'Sale value'!$T16</f>
        <v>6549.3</v>
      </c>
    </row>
    <row r="253" spans="1:6" x14ac:dyDescent="0.3">
      <c r="A253" t="s">
        <v>36</v>
      </c>
      <c r="B253" t="s">
        <v>101</v>
      </c>
      <c r="C253" t="s">
        <v>102</v>
      </c>
      <c r="D253" t="s">
        <v>5</v>
      </c>
      <c r="E253">
        <f>'Sold units'!$T17</f>
        <v>3071</v>
      </c>
      <c r="F253" s="14">
        <f>'Sale value'!$T17</f>
        <v>32813.08</v>
      </c>
    </row>
    <row r="254" spans="1:6" x14ac:dyDescent="0.3">
      <c r="A254" t="s">
        <v>36</v>
      </c>
      <c r="B254" t="s">
        <v>23</v>
      </c>
      <c r="C254" t="s">
        <v>18</v>
      </c>
      <c r="D254" t="s">
        <v>2</v>
      </c>
      <c r="E254">
        <f>'Sold units'!$U4</f>
        <v>150</v>
      </c>
      <c r="F254" s="14">
        <f>'Sale value'!$U4</f>
        <v>1702.5</v>
      </c>
    </row>
    <row r="255" spans="1:6" x14ac:dyDescent="0.3">
      <c r="A255" t="s">
        <v>36</v>
      </c>
      <c r="B255" t="s">
        <v>23</v>
      </c>
      <c r="C255" t="s">
        <v>24</v>
      </c>
      <c r="D255" t="s">
        <v>2</v>
      </c>
      <c r="E255">
        <f>'Sold units'!$U5</f>
        <v>157</v>
      </c>
      <c r="F255" s="14">
        <f>'Sale value'!$U5</f>
        <v>2318.89</v>
      </c>
    </row>
    <row r="256" spans="1:6" x14ac:dyDescent="0.3">
      <c r="A256" t="s">
        <v>36</v>
      </c>
      <c r="B256" t="s">
        <v>23</v>
      </c>
      <c r="C256" t="s">
        <v>102</v>
      </c>
      <c r="D256" t="s">
        <v>2</v>
      </c>
      <c r="E256">
        <f>'Sold units'!$U6</f>
        <v>307</v>
      </c>
      <c r="F256" s="14">
        <f>'Sale value'!$U6</f>
        <v>4021.39</v>
      </c>
    </row>
    <row r="257" spans="1:6" x14ac:dyDescent="0.3">
      <c r="A257" t="s">
        <v>36</v>
      </c>
      <c r="B257" t="s">
        <v>21</v>
      </c>
      <c r="C257" t="s">
        <v>16</v>
      </c>
      <c r="D257" t="s">
        <v>2</v>
      </c>
      <c r="E257">
        <f>'Sold units'!$U7</f>
        <v>153</v>
      </c>
      <c r="F257" s="14">
        <f>'Sale value'!$U7</f>
        <v>1571.31</v>
      </c>
    </row>
    <row r="258" spans="1:6" x14ac:dyDescent="0.3">
      <c r="A258" t="s">
        <v>36</v>
      </c>
      <c r="B258" t="s">
        <v>21</v>
      </c>
      <c r="C258" t="s">
        <v>22</v>
      </c>
      <c r="D258" t="s">
        <v>2</v>
      </c>
      <c r="E258">
        <f>'Sold units'!$U8</f>
        <v>359</v>
      </c>
      <c r="F258" s="14">
        <f>'Sale value'!$U8</f>
        <v>4613.1499999999996</v>
      </c>
    </row>
    <row r="259" spans="1:6" x14ac:dyDescent="0.3">
      <c r="A259" t="s">
        <v>36</v>
      </c>
      <c r="B259" t="s">
        <v>21</v>
      </c>
      <c r="C259" t="s">
        <v>102</v>
      </c>
      <c r="D259" t="s">
        <v>2</v>
      </c>
      <c r="E259">
        <f>'Sold units'!$U9</f>
        <v>512</v>
      </c>
      <c r="F259" s="14">
        <f>'Sale value'!$U9</f>
        <v>6184.4599999999991</v>
      </c>
    </row>
    <row r="260" spans="1:6" x14ac:dyDescent="0.3">
      <c r="A260" t="s">
        <v>36</v>
      </c>
      <c r="B260" t="s">
        <v>13</v>
      </c>
      <c r="C260" t="s">
        <v>12</v>
      </c>
      <c r="D260" t="s">
        <v>2</v>
      </c>
      <c r="E260">
        <f>'Sold units'!$U10</f>
        <v>248</v>
      </c>
      <c r="F260" s="14">
        <f>'Sale value'!$U10</f>
        <v>3179.36</v>
      </c>
    </row>
    <row r="261" spans="1:6" x14ac:dyDescent="0.3">
      <c r="A261" t="s">
        <v>36</v>
      </c>
      <c r="B261" t="s">
        <v>13</v>
      </c>
      <c r="C261" t="s">
        <v>15</v>
      </c>
      <c r="D261" t="s">
        <v>2</v>
      </c>
      <c r="E261">
        <f>'Sold units'!$U11</f>
        <v>846</v>
      </c>
      <c r="F261" s="14">
        <f>'Sale value'!$U11</f>
        <v>11429.46</v>
      </c>
    </row>
    <row r="262" spans="1:6" x14ac:dyDescent="0.3">
      <c r="A262" t="s">
        <v>36</v>
      </c>
      <c r="B262" t="s">
        <v>13</v>
      </c>
      <c r="C262" t="s">
        <v>102</v>
      </c>
      <c r="D262" t="s">
        <v>2</v>
      </c>
      <c r="E262">
        <f>'Sold units'!$U12</f>
        <v>1094</v>
      </c>
      <c r="F262" s="14">
        <f>'Sale value'!$U12</f>
        <v>14608.82</v>
      </c>
    </row>
    <row r="263" spans="1:6" x14ac:dyDescent="0.3">
      <c r="A263" t="s">
        <v>36</v>
      </c>
      <c r="B263" t="s">
        <v>17</v>
      </c>
      <c r="C263" t="s">
        <v>14</v>
      </c>
      <c r="D263" t="s">
        <v>2</v>
      </c>
      <c r="E263">
        <f>'Sold units'!$U13</f>
        <v>605</v>
      </c>
      <c r="F263" s="14">
        <f>'Sale value'!$U13</f>
        <v>5886.6500000000005</v>
      </c>
    </row>
    <row r="264" spans="1:6" x14ac:dyDescent="0.3">
      <c r="A264" t="s">
        <v>36</v>
      </c>
      <c r="B264" t="s">
        <v>17</v>
      </c>
      <c r="C264" t="s">
        <v>102</v>
      </c>
      <c r="D264" t="s">
        <v>2</v>
      </c>
      <c r="E264">
        <f>'Sold units'!$U14</f>
        <v>605</v>
      </c>
      <c r="F264" s="14">
        <f>'Sale value'!$U14</f>
        <v>5886.6500000000005</v>
      </c>
    </row>
    <row r="265" spans="1:6" x14ac:dyDescent="0.3">
      <c r="A265" t="s">
        <v>36</v>
      </c>
      <c r="B265" t="s">
        <v>19</v>
      </c>
      <c r="C265" t="s">
        <v>20</v>
      </c>
      <c r="D265" t="s">
        <v>2</v>
      </c>
      <c r="E265">
        <f>'Sold units'!$U15</f>
        <v>100</v>
      </c>
      <c r="F265" s="14">
        <f>'Sale value'!$U15</f>
        <v>1162</v>
      </c>
    </row>
    <row r="266" spans="1:6" x14ac:dyDescent="0.3">
      <c r="A266" t="s">
        <v>36</v>
      </c>
      <c r="B266" t="s">
        <v>19</v>
      </c>
      <c r="C266" t="s">
        <v>102</v>
      </c>
      <c r="D266" t="s">
        <v>2</v>
      </c>
      <c r="E266">
        <f>'Sold units'!$U16</f>
        <v>100</v>
      </c>
      <c r="F266" s="14">
        <f>'Sale value'!$U16</f>
        <v>1162</v>
      </c>
    </row>
    <row r="267" spans="1:6" x14ac:dyDescent="0.3">
      <c r="A267" t="s">
        <v>36</v>
      </c>
      <c r="B267" t="s">
        <v>101</v>
      </c>
      <c r="C267" t="s">
        <v>102</v>
      </c>
      <c r="D267" t="s">
        <v>2</v>
      </c>
      <c r="E267">
        <f>'Sold units'!$U17</f>
        <v>2618</v>
      </c>
      <c r="F267" s="14">
        <f>'Sale value'!$U17</f>
        <v>31863.32</v>
      </c>
    </row>
    <row r="268" spans="1:6" x14ac:dyDescent="0.3">
      <c r="A268" t="s">
        <v>36</v>
      </c>
      <c r="B268" t="s">
        <v>23</v>
      </c>
      <c r="C268" t="s">
        <v>18</v>
      </c>
      <c r="D268" t="s">
        <v>8</v>
      </c>
      <c r="E268">
        <f>'Sold units'!$V4</f>
        <v>257</v>
      </c>
      <c r="F268" s="14">
        <f>'Sale value'!$V4</f>
        <v>1750.17</v>
      </c>
    </row>
    <row r="269" spans="1:6" x14ac:dyDescent="0.3">
      <c r="A269" t="s">
        <v>36</v>
      </c>
      <c r="B269" t="s">
        <v>23</v>
      </c>
      <c r="C269" t="s">
        <v>24</v>
      </c>
      <c r="D269" t="s">
        <v>8</v>
      </c>
      <c r="E269">
        <f>'Sold units'!$V5</f>
        <v>105</v>
      </c>
      <c r="F269" s="14">
        <f>'Sale value'!$V5</f>
        <v>873.6</v>
      </c>
    </row>
    <row r="270" spans="1:6" x14ac:dyDescent="0.3">
      <c r="A270" t="s">
        <v>36</v>
      </c>
      <c r="B270" t="s">
        <v>23</v>
      </c>
      <c r="C270" t="s">
        <v>102</v>
      </c>
      <c r="D270" t="s">
        <v>8</v>
      </c>
      <c r="E270">
        <f>'Sold units'!$V6</f>
        <v>362</v>
      </c>
      <c r="F270" s="14">
        <f>'Sale value'!$V6</f>
        <v>2623.77</v>
      </c>
    </row>
    <row r="271" spans="1:6" x14ac:dyDescent="0.3">
      <c r="A271" t="s">
        <v>36</v>
      </c>
      <c r="B271" t="s">
        <v>21</v>
      </c>
      <c r="C271" t="s">
        <v>16</v>
      </c>
      <c r="D271" t="s">
        <v>8</v>
      </c>
      <c r="E271">
        <f>'Sold units'!$V7</f>
        <v>658</v>
      </c>
      <c r="F271" s="14">
        <f>'Sale value'!$V7</f>
        <v>8744.82</v>
      </c>
    </row>
    <row r="272" spans="1:6" x14ac:dyDescent="0.3">
      <c r="A272" t="s">
        <v>36</v>
      </c>
      <c r="B272" t="s">
        <v>21</v>
      </c>
      <c r="C272" t="s">
        <v>22</v>
      </c>
      <c r="D272" t="s">
        <v>8</v>
      </c>
      <c r="E272">
        <f>'Sold units'!$V8</f>
        <v>268</v>
      </c>
      <c r="F272" s="14">
        <f>'Sale value'!$V8</f>
        <v>3408.96</v>
      </c>
    </row>
    <row r="273" spans="1:6" x14ac:dyDescent="0.3">
      <c r="A273" t="s">
        <v>36</v>
      </c>
      <c r="B273" t="s">
        <v>21</v>
      </c>
      <c r="C273" t="s">
        <v>102</v>
      </c>
      <c r="D273" t="s">
        <v>8</v>
      </c>
      <c r="E273">
        <f>'Sold units'!$V9</f>
        <v>926</v>
      </c>
      <c r="F273" s="14">
        <f>'Sale value'!$V9</f>
        <v>12153.779999999999</v>
      </c>
    </row>
    <row r="274" spans="1:6" x14ac:dyDescent="0.3">
      <c r="A274" t="s">
        <v>36</v>
      </c>
      <c r="B274" t="s">
        <v>13</v>
      </c>
      <c r="C274" t="s">
        <v>12</v>
      </c>
      <c r="D274" t="s">
        <v>8</v>
      </c>
      <c r="E274">
        <f>'Sold units'!$V10</f>
        <v>462</v>
      </c>
      <c r="F274" s="14">
        <f>'Sale value'!$V10</f>
        <v>6047.58</v>
      </c>
    </row>
    <row r="275" spans="1:6" x14ac:dyDescent="0.3">
      <c r="A275" t="s">
        <v>36</v>
      </c>
      <c r="B275" t="s">
        <v>13</v>
      </c>
      <c r="C275" t="s">
        <v>15</v>
      </c>
      <c r="D275" t="s">
        <v>8</v>
      </c>
      <c r="E275">
        <f>'Sold units'!$V11</f>
        <v>264</v>
      </c>
      <c r="F275" s="14">
        <f>'Sale value'!$V11</f>
        <v>1647.3600000000001</v>
      </c>
    </row>
    <row r="276" spans="1:6" x14ac:dyDescent="0.3">
      <c r="A276" t="s">
        <v>36</v>
      </c>
      <c r="B276" t="s">
        <v>13</v>
      </c>
      <c r="C276" t="s">
        <v>102</v>
      </c>
      <c r="D276" t="s">
        <v>8</v>
      </c>
      <c r="E276">
        <f>'Sold units'!$V12</f>
        <v>726</v>
      </c>
      <c r="F276" s="14">
        <f>'Sale value'!$V12</f>
        <v>7694.9400000000005</v>
      </c>
    </row>
    <row r="277" spans="1:6" x14ac:dyDescent="0.3">
      <c r="A277" t="s">
        <v>36</v>
      </c>
      <c r="B277" t="s">
        <v>17</v>
      </c>
      <c r="C277" t="s">
        <v>14</v>
      </c>
      <c r="D277" t="s">
        <v>8</v>
      </c>
      <c r="E277">
        <f>'Sold units'!$V13</f>
        <v>964</v>
      </c>
      <c r="F277" s="14">
        <f>'Sale value'!$V13</f>
        <v>10555.8</v>
      </c>
    </row>
    <row r="278" spans="1:6" x14ac:dyDescent="0.3">
      <c r="A278" t="s">
        <v>36</v>
      </c>
      <c r="B278" t="s">
        <v>17</v>
      </c>
      <c r="C278" t="s">
        <v>102</v>
      </c>
      <c r="D278" t="s">
        <v>8</v>
      </c>
      <c r="E278">
        <f>'Sold units'!$V14</f>
        <v>964</v>
      </c>
      <c r="F278" s="14">
        <f>'Sale value'!$V14</f>
        <v>10555.8</v>
      </c>
    </row>
    <row r="279" spans="1:6" x14ac:dyDescent="0.3">
      <c r="A279" t="s">
        <v>36</v>
      </c>
      <c r="B279" t="s">
        <v>19</v>
      </c>
      <c r="C279" t="s">
        <v>20</v>
      </c>
      <c r="D279" t="s">
        <v>8</v>
      </c>
      <c r="E279">
        <f>'Sold units'!$V15</f>
        <v>157</v>
      </c>
      <c r="F279" s="14">
        <f>'Sale value'!$V15</f>
        <v>1613.9599999999998</v>
      </c>
    </row>
    <row r="280" spans="1:6" x14ac:dyDescent="0.3">
      <c r="A280" t="s">
        <v>36</v>
      </c>
      <c r="B280" t="s">
        <v>19</v>
      </c>
      <c r="C280" t="s">
        <v>102</v>
      </c>
      <c r="D280" t="s">
        <v>8</v>
      </c>
      <c r="E280">
        <f>'Sold units'!$V16</f>
        <v>157</v>
      </c>
      <c r="F280" s="14">
        <f>'Sale value'!$V16</f>
        <v>1613.9599999999998</v>
      </c>
    </row>
    <row r="281" spans="1:6" x14ac:dyDescent="0.3">
      <c r="A281" t="s">
        <v>36</v>
      </c>
      <c r="B281" t="s">
        <v>101</v>
      </c>
      <c r="C281" t="s">
        <v>102</v>
      </c>
      <c r="D281" t="s">
        <v>8</v>
      </c>
      <c r="E281">
        <f>'Sold units'!$V17</f>
        <v>3135</v>
      </c>
      <c r="F281" s="14">
        <f>'Sale value'!$V17</f>
        <v>34642.249999999993</v>
      </c>
    </row>
    <row r="282" spans="1:6" x14ac:dyDescent="0.3">
      <c r="A282" t="s">
        <v>36</v>
      </c>
      <c r="B282" t="s">
        <v>23</v>
      </c>
      <c r="C282" t="s">
        <v>18</v>
      </c>
      <c r="D282" t="s">
        <v>6</v>
      </c>
      <c r="E282">
        <f>'Sold units'!$W4</f>
        <v>1211</v>
      </c>
      <c r="F282" s="14">
        <f>'Sale value'!$W4</f>
        <v>4288.17</v>
      </c>
    </row>
    <row r="283" spans="1:6" x14ac:dyDescent="0.3">
      <c r="A283" t="s">
        <v>36</v>
      </c>
      <c r="B283" t="s">
        <v>23</v>
      </c>
      <c r="C283" t="s">
        <v>24</v>
      </c>
      <c r="D283" t="s">
        <v>6</v>
      </c>
      <c r="E283">
        <f>'Sold units'!$W5</f>
        <v>1148</v>
      </c>
      <c r="F283" s="14">
        <f>'Sale value'!$W5</f>
        <v>10628.49</v>
      </c>
    </row>
    <row r="284" spans="1:6" x14ac:dyDescent="0.3">
      <c r="A284" t="s">
        <v>36</v>
      </c>
      <c r="B284" t="s">
        <v>23</v>
      </c>
      <c r="C284" t="s">
        <v>102</v>
      </c>
      <c r="D284" t="s">
        <v>6</v>
      </c>
      <c r="E284">
        <f>'Sold units'!$W6</f>
        <v>2359</v>
      </c>
      <c r="F284" s="14">
        <f>'Sale value'!$W6</f>
        <v>14916.66</v>
      </c>
    </row>
    <row r="285" spans="1:6" x14ac:dyDescent="0.3">
      <c r="A285" t="s">
        <v>36</v>
      </c>
      <c r="B285" t="s">
        <v>21</v>
      </c>
      <c r="C285" t="s">
        <v>16</v>
      </c>
      <c r="D285" t="s">
        <v>6</v>
      </c>
      <c r="E285">
        <f>'Sold units'!$W7</f>
        <v>1112</v>
      </c>
      <c r="F285" s="14">
        <f>'Sale value'!$W7</f>
        <v>12695.13</v>
      </c>
    </row>
    <row r="286" spans="1:6" x14ac:dyDescent="0.3">
      <c r="A286" t="s">
        <v>36</v>
      </c>
      <c r="B286" t="s">
        <v>21</v>
      </c>
      <c r="C286" t="s">
        <v>22</v>
      </c>
      <c r="D286" t="s">
        <v>6</v>
      </c>
      <c r="E286">
        <f>'Sold units'!$W8</f>
        <v>902</v>
      </c>
      <c r="F286" s="14">
        <f>'Sale value'!$W8</f>
        <v>9585.11</v>
      </c>
    </row>
    <row r="287" spans="1:6" x14ac:dyDescent="0.3">
      <c r="A287" t="s">
        <v>36</v>
      </c>
      <c r="B287" t="s">
        <v>21</v>
      </c>
      <c r="C287" t="s">
        <v>102</v>
      </c>
      <c r="D287" t="s">
        <v>6</v>
      </c>
      <c r="E287">
        <f>'Sold units'!$W9</f>
        <v>2014</v>
      </c>
      <c r="F287" s="14">
        <f>'Sale value'!$W9</f>
        <v>22280.239999999998</v>
      </c>
    </row>
    <row r="288" spans="1:6" x14ac:dyDescent="0.3">
      <c r="A288" t="s">
        <v>36</v>
      </c>
      <c r="B288" t="s">
        <v>13</v>
      </c>
      <c r="C288" t="s">
        <v>12</v>
      </c>
      <c r="D288" t="s">
        <v>6</v>
      </c>
      <c r="E288">
        <f>'Sold units'!$W10</f>
        <v>1122</v>
      </c>
      <c r="F288" s="14">
        <f>'Sale value'!$W10</f>
        <v>11685.5</v>
      </c>
    </row>
    <row r="289" spans="1:6" x14ac:dyDescent="0.3">
      <c r="A289" t="s">
        <v>36</v>
      </c>
      <c r="B289" t="s">
        <v>13</v>
      </c>
      <c r="C289" t="s">
        <v>15</v>
      </c>
      <c r="D289" t="s">
        <v>6</v>
      </c>
      <c r="E289">
        <f>'Sold units'!$W11</f>
        <v>1852</v>
      </c>
      <c r="F289" s="14">
        <f>'Sale value'!$W11</f>
        <v>17220.88</v>
      </c>
    </row>
    <row r="290" spans="1:6" x14ac:dyDescent="0.3">
      <c r="A290" t="s">
        <v>36</v>
      </c>
      <c r="B290" t="s">
        <v>13</v>
      </c>
      <c r="C290" t="s">
        <v>102</v>
      </c>
      <c r="D290" t="s">
        <v>6</v>
      </c>
      <c r="E290">
        <f>'Sold units'!$W12</f>
        <v>2974</v>
      </c>
      <c r="F290" s="14">
        <f>'Sale value'!$W12</f>
        <v>28906.380000000005</v>
      </c>
    </row>
    <row r="291" spans="1:6" x14ac:dyDescent="0.3">
      <c r="A291" t="s">
        <v>36</v>
      </c>
      <c r="B291" t="s">
        <v>17</v>
      </c>
      <c r="C291" t="s">
        <v>14</v>
      </c>
      <c r="D291" t="s">
        <v>6</v>
      </c>
      <c r="E291">
        <f>'Sold units'!$W13</f>
        <v>2527</v>
      </c>
      <c r="F291" s="14">
        <f>'Sale value'!$W13</f>
        <v>23890.11</v>
      </c>
    </row>
    <row r="292" spans="1:6" x14ac:dyDescent="0.3">
      <c r="A292" t="s">
        <v>36</v>
      </c>
      <c r="B292" t="s">
        <v>17</v>
      </c>
      <c r="C292" t="s">
        <v>102</v>
      </c>
      <c r="D292" t="s">
        <v>6</v>
      </c>
      <c r="E292">
        <f>'Sold units'!$W14</f>
        <v>2527</v>
      </c>
      <c r="F292" s="14">
        <f>'Sale value'!$W14</f>
        <v>23890.11</v>
      </c>
    </row>
    <row r="293" spans="1:6" x14ac:dyDescent="0.3">
      <c r="A293" t="s">
        <v>36</v>
      </c>
      <c r="B293" t="s">
        <v>19</v>
      </c>
      <c r="C293" t="s">
        <v>20</v>
      </c>
      <c r="D293" t="s">
        <v>6</v>
      </c>
      <c r="E293">
        <f>'Sold units'!$W15</f>
        <v>947</v>
      </c>
      <c r="F293" s="14">
        <f>'Sale value'!$W15</f>
        <v>9325.26</v>
      </c>
    </row>
    <row r="294" spans="1:6" x14ac:dyDescent="0.3">
      <c r="A294" t="s">
        <v>36</v>
      </c>
      <c r="B294" t="s">
        <v>19</v>
      </c>
      <c r="C294" t="s">
        <v>102</v>
      </c>
      <c r="D294" t="s">
        <v>6</v>
      </c>
      <c r="E294">
        <f>'Sold units'!$W16</f>
        <v>947</v>
      </c>
      <c r="F294" s="14">
        <f>'Sale value'!$W16</f>
        <v>9325.26</v>
      </c>
    </row>
    <row r="295" spans="1:6" x14ac:dyDescent="0.3">
      <c r="A295" t="s">
        <v>36</v>
      </c>
      <c r="B295" t="s">
        <v>101</v>
      </c>
      <c r="C295" t="s">
        <v>102</v>
      </c>
      <c r="D295" t="s">
        <v>6</v>
      </c>
      <c r="E295">
        <f>'Sold units'!$W17</f>
        <v>10821</v>
      </c>
      <c r="F295" s="14">
        <f>'Sale value'!$W17</f>
        <v>99318.65</v>
      </c>
    </row>
    <row r="296" spans="1:6" x14ac:dyDescent="0.3">
      <c r="A296" t="s">
        <v>36</v>
      </c>
      <c r="B296" t="s">
        <v>23</v>
      </c>
      <c r="C296" t="s">
        <v>18</v>
      </c>
      <c r="D296" t="s">
        <v>3</v>
      </c>
      <c r="E296">
        <f>'Sold units'!$X4</f>
        <v>735</v>
      </c>
      <c r="F296" s="14">
        <f>'Sale value'!$X4</f>
        <v>6637.0499999999993</v>
      </c>
    </row>
    <row r="297" spans="1:6" x14ac:dyDescent="0.3">
      <c r="A297" t="s">
        <v>36</v>
      </c>
      <c r="B297" t="s">
        <v>23</v>
      </c>
      <c r="C297" t="s">
        <v>24</v>
      </c>
      <c r="D297" t="s">
        <v>3</v>
      </c>
      <c r="E297">
        <f>'Sold units'!$X5</f>
        <v>195</v>
      </c>
      <c r="F297" s="14">
        <f>'Sale value'!$X5</f>
        <v>1655.55</v>
      </c>
    </row>
    <row r="298" spans="1:6" x14ac:dyDescent="0.3">
      <c r="A298" t="s">
        <v>36</v>
      </c>
      <c r="B298" t="s">
        <v>23</v>
      </c>
      <c r="C298" t="s">
        <v>102</v>
      </c>
      <c r="D298" t="s">
        <v>3</v>
      </c>
      <c r="E298">
        <f>'Sold units'!$X6</f>
        <v>930</v>
      </c>
      <c r="F298" s="14">
        <f>'Sale value'!$X6</f>
        <v>8292.5999999999985</v>
      </c>
    </row>
    <row r="299" spans="1:6" x14ac:dyDescent="0.3">
      <c r="A299" t="s">
        <v>36</v>
      </c>
      <c r="B299" t="s">
        <v>21</v>
      </c>
      <c r="C299" t="s">
        <v>16</v>
      </c>
      <c r="D299" t="s">
        <v>3</v>
      </c>
      <c r="E299">
        <f>'Sold units'!$X7</f>
        <v>451</v>
      </c>
      <c r="F299" s="14">
        <f>'Sale value'!$X7</f>
        <v>5894.57</v>
      </c>
    </row>
    <row r="300" spans="1:6" x14ac:dyDescent="0.3">
      <c r="A300" t="s">
        <v>36</v>
      </c>
      <c r="B300" t="s">
        <v>21</v>
      </c>
      <c r="C300" t="s">
        <v>22</v>
      </c>
      <c r="D300" t="s">
        <v>3</v>
      </c>
      <c r="E300">
        <f>'Sold units'!$X8</f>
        <v>651</v>
      </c>
      <c r="F300" s="14">
        <f>'Sale value'!$X8</f>
        <v>8573.67</v>
      </c>
    </row>
    <row r="301" spans="1:6" x14ac:dyDescent="0.3">
      <c r="A301" t="s">
        <v>36</v>
      </c>
      <c r="B301" t="s">
        <v>21</v>
      </c>
      <c r="C301" t="s">
        <v>102</v>
      </c>
      <c r="D301" t="s">
        <v>3</v>
      </c>
      <c r="E301">
        <f>'Sold units'!$X9</f>
        <v>1102</v>
      </c>
      <c r="F301" s="14">
        <f>'Sale value'!$X9</f>
        <v>14468.24</v>
      </c>
    </row>
    <row r="302" spans="1:6" x14ac:dyDescent="0.3">
      <c r="A302" t="s">
        <v>36</v>
      </c>
      <c r="B302" t="s">
        <v>13</v>
      </c>
      <c r="C302" t="s">
        <v>12</v>
      </c>
      <c r="D302" t="s">
        <v>3</v>
      </c>
      <c r="E302">
        <f>'Sold units'!$X10</f>
        <v>102</v>
      </c>
      <c r="F302" s="14">
        <f>'Sale value'!$X10</f>
        <v>1607.52</v>
      </c>
    </row>
    <row r="303" spans="1:6" x14ac:dyDescent="0.3">
      <c r="A303" t="s">
        <v>36</v>
      </c>
      <c r="B303" t="s">
        <v>13</v>
      </c>
      <c r="C303" t="s">
        <v>15</v>
      </c>
      <c r="D303" t="s">
        <v>3</v>
      </c>
      <c r="E303">
        <f>'Sold units'!$X11</f>
        <v>506</v>
      </c>
      <c r="F303" s="14">
        <f>'Sale value'!$X11</f>
        <v>4457.8600000000006</v>
      </c>
    </row>
    <row r="304" spans="1:6" x14ac:dyDescent="0.3">
      <c r="A304" t="s">
        <v>36</v>
      </c>
      <c r="B304" t="s">
        <v>13</v>
      </c>
      <c r="C304" t="s">
        <v>102</v>
      </c>
      <c r="D304" t="s">
        <v>3</v>
      </c>
      <c r="E304">
        <f>'Sold units'!$X12</f>
        <v>608</v>
      </c>
      <c r="F304" s="14">
        <f>'Sale value'!$X12</f>
        <v>6065.380000000001</v>
      </c>
    </row>
    <row r="305" spans="1:6" x14ac:dyDescent="0.3">
      <c r="A305" t="s">
        <v>36</v>
      </c>
      <c r="B305" t="s">
        <v>17</v>
      </c>
      <c r="C305" t="s">
        <v>14</v>
      </c>
      <c r="D305" t="s">
        <v>3</v>
      </c>
      <c r="E305">
        <f>'Sold units'!$X13</f>
        <v>140</v>
      </c>
      <c r="F305" s="14">
        <f>'Sale value'!$X13</f>
        <v>2175.6</v>
      </c>
    </row>
    <row r="306" spans="1:6" x14ac:dyDescent="0.3">
      <c r="A306" t="s">
        <v>36</v>
      </c>
      <c r="B306" t="s">
        <v>17</v>
      </c>
      <c r="C306" t="s">
        <v>102</v>
      </c>
      <c r="D306" t="s">
        <v>3</v>
      </c>
      <c r="E306">
        <f>'Sold units'!$X14</f>
        <v>140</v>
      </c>
      <c r="F306" s="14">
        <f>'Sale value'!$X14</f>
        <v>2175.6</v>
      </c>
    </row>
    <row r="307" spans="1:6" x14ac:dyDescent="0.3">
      <c r="A307" t="s">
        <v>36</v>
      </c>
      <c r="B307" t="s">
        <v>19</v>
      </c>
      <c r="C307" t="s">
        <v>20</v>
      </c>
      <c r="D307" t="s">
        <v>3</v>
      </c>
      <c r="E307">
        <f>'Sold units'!$X15</f>
        <v>209</v>
      </c>
      <c r="F307" s="14">
        <f>'Sale value'!$X15</f>
        <v>1592.58</v>
      </c>
    </row>
    <row r="308" spans="1:6" x14ac:dyDescent="0.3">
      <c r="A308" t="s">
        <v>36</v>
      </c>
      <c r="B308" t="s">
        <v>19</v>
      </c>
      <c r="C308" t="s">
        <v>102</v>
      </c>
      <c r="D308" t="s">
        <v>3</v>
      </c>
      <c r="E308">
        <f>'Sold units'!$X16</f>
        <v>209</v>
      </c>
      <c r="F308" s="14">
        <f>'Sale value'!$X16</f>
        <v>1592.58</v>
      </c>
    </row>
    <row r="309" spans="1:6" x14ac:dyDescent="0.3">
      <c r="A309" t="s">
        <v>36</v>
      </c>
      <c r="B309" t="s">
        <v>101</v>
      </c>
      <c r="C309" t="s">
        <v>102</v>
      </c>
      <c r="D309" t="s">
        <v>3</v>
      </c>
      <c r="E309">
        <f>'Sold units'!$X17</f>
        <v>2989</v>
      </c>
      <c r="F309" s="14">
        <f>'Sale value'!$X17</f>
        <v>32594.400000000001</v>
      </c>
    </row>
    <row r="310" spans="1:6" x14ac:dyDescent="0.3">
      <c r="A310" t="s">
        <v>36</v>
      </c>
      <c r="B310" t="s">
        <v>23</v>
      </c>
      <c r="C310" t="s">
        <v>18</v>
      </c>
      <c r="D310" t="s">
        <v>7</v>
      </c>
      <c r="E310">
        <f>'Sold units'!$Y4</f>
        <v>735</v>
      </c>
      <c r="F310" s="14">
        <f>'Sale value'!$Y4</f>
        <v>6637.0499999999993</v>
      </c>
    </row>
    <row r="311" spans="1:6" x14ac:dyDescent="0.3">
      <c r="A311" t="s">
        <v>36</v>
      </c>
      <c r="B311" t="s">
        <v>23</v>
      </c>
      <c r="C311" t="s">
        <v>24</v>
      </c>
      <c r="D311" t="s">
        <v>7</v>
      </c>
      <c r="E311">
        <f>'Sold units'!$Y5</f>
        <v>195</v>
      </c>
      <c r="F311" s="14">
        <f>'Sale value'!$Y5</f>
        <v>1655.55</v>
      </c>
    </row>
    <row r="312" spans="1:6" x14ac:dyDescent="0.3">
      <c r="A312" t="s">
        <v>36</v>
      </c>
      <c r="B312" t="s">
        <v>23</v>
      </c>
      <c r="C312" t="s">
        <v>102</v>
      </c>
      <c r="D312" t="s">
        <v>7</v>
      </c>
      <c r="E312">
        <f>'Sold units'!$Y6</f>
        <v>930</v>
      </c>
      <c r="F312" s="14">
        <f>'Sale value'!$Y6</f>
        <v>8292.5999999999985</v>
      </c>
    </row>
    <row r="313" spans="1:6" x14ac:dyDescent="0.3">
      <c r="A313" t="s">
        <v>36</v>
      </c>
      <c r="B313" t="s">
        <v>21</v>
      </c>
      <c r="C313" t="s">
        <v>16</v>
      </c>
      <c r="D313" t="s">
        <v>7</v>
      </c>
      <c r="E313">
        <f>'Sold units'!$Y7</f>
        <v>451</v>
      </c>
      <c r="F313" s="14">
        <f>'Sale value'!$Y7</f>
        <v>5894.57</v>
      </c>
    </row>
    <row r="314" spans="1:6" x14ac:dyDescent="0.3">
      <c r="A314" t="s">
        <v>36</v>
      </c>
      <c r="B314" t="s">
        <v>21</v>
      </c>
      <c r="C314" t="s">
        <v>22</v>
      </c>
      <c r="D314" t="s">
        <v>7</v>
      </c>
      <c r="E314">
        <f>'Sold units'!$Y8</f>
        <v>651</v>
      </c>
      <c r="F314" s="14">
        <f>'Sale value'!$Y8</f>
        <v>8573.67</v>
      </c>
    </row>
    <row r="315" spans="1:6" x14ac:dyDescent="0.3">
      <c r="A315" t="s">
        <v>36</v>
      </c>
      <c r="B315" t="s">
        <v>21</v>
      </c>
      <c r="C315" t="s">
        <v>102</v>
      </c>
      <c r="D315" t="s">
        <v>7</v>
      </c>
      <c r="E315">
        <f>'Sold units'!$Y9</f>
        <v>1102</v>
      </c>
      <c r="F315" s="14">
        <f>'Sale value'!$Y9</f>
        <v>14468.24</v>
      </c>
    </row>
    <row r="316" spans="1:6" x14ac:dyDescent="0.3">
      <c r="A316" t="s">
        <v>36</v>
      </c>
      <c r="B316" t="s">
        <v>13</v>
      </c>
      <c r="C316" t="s">
        <v>12</v>
      </c>
      <c r="D316" t="s">
        <v>7</v>
      </c>
      <c r="E316">
        <f>'Sold units'!$Y10</f>
        <v>102</v>
      </c>
      <c r="F316" s="14">
        <f>'Sale value'!$Y10</f>
        <v>1607.52</v>
      </c>
    </row>
    <row r="317" spans="1:6" x14ac:dyDescent="0.3">
      <c r="A317" t="s">
        <v>36</v>
      </c>
      <c r="B317" t="s">
        <v>13</v>
      </c>
      <c r="C317" t="s">
        <v>15</v>
      </c>
      <c r="D317" t="s">
        <v>7</v>
      </c>
      <c r="E317">
        <f>'Sold units'!$Y11</f>
        <v>506</v>
      </c>
      <c r="F317" s="14">
        <f>'Sale value'!$Y11</f>
        <v>4457.8600000000006</v>
      </c>
    </row>
    <row r="318" spans="1:6" x14ac:dyDescent="0.3">
      <c r="A318" t="s">
        <v>36</v>
      </c>
      <c r="B318" t="s">
        <v>13</v>
      </c>
      <c r="C318" t="s">
        <v>102</v>
      </c>
      <c r="D318" t="s">
        <v>7</v>
      </c>
      <c r="E318">
        <f>'Sold units'!$Y12</f>
        <v>608</v>
      </c>
      <c r="F318" s="14">
        <f>'Sale value'!$Y12</f>
        <v>6065.380000000001</v>
      </c>
    </row>
    <row r="319" spans="1:6" x14ac:dyDescent="0.3">
      <c r="A319" t="s">
        <v>36</v>
      </c>
      <c r="B319" t="s">
        <v>17</v>
      </c>
      <c r="C319" t="s">
        <v>14</v>
      </c>
      <c r="D319" t="s">
        <v>7</v>
      </c>
      <c r="E319">
        <f>'Sold units'!$Y13</f>
        <v>140</v>
      </c>
      <c r="F319" s="14">
        <f>'Sale value'!$Y13</f>
        <v>2175.6</v>
      </c>
    </row>
    <row r="320" spans="1:6" x14ac:dyDescent="0.3">
      <c r="A320" t="s">
        <v>36</v>
      </c>
      <c r="B320" t="s">
        <v>17</v>
      </c>
      <c r="C320" t="s">
        <v>102</v>
      </c>
      <c r="D320" t="s">
        <v>7</v>
      </c>
      <c r="E320">
        <f>'Sold units'!$Y14</f>
        <v>140</v>
      </c>
      <c r="F320" s="14">
        <f>'Sale value'!$Y14</f>
        <v>2175.6</v>
      </c>
    </row>
    <row r="321" spans="1:6" x14ac:dyDescent="0.3">
      <c r="A321" t="s">
        <v>36</v>
      </c>
      <c r="B321" t="s">
        <v>19</v>
      </c>
      <c r="C321" t="s">
        <v>20</v>
      </c>
      <c r="D321" t="s">
        <v>7</v>
      </c>
      <c r="E321">
        <f>'Sold units'!$Y15</f>
        <v>209</v>
      </c>
      <c r="F321" s="14">
        <f>'Sale value'!$Y15</f>
        <v>1592.58</v>
      </c>
    </row>
    <row r="322" spans="1:6" x14ac:dyDescent="0.3">
      <c r="A322" t="s">
        <v>36</v>
      </c>
      <c r="B322" t="s">
        <v>19</v>
      </c>
      <c r="C322" t="s">
        <v>102</v>
      </c>
      <c r="D322" t="s">
        <v>7</v>
      </c>
      <c r="E322">
        <f>'Sold units'!$Y16</f>
        <v>209</v>
      </c>
      <c r="F322" s="14">
        <f>'Sale value'!$Y16</f>
        <v>1592.58</v>
      </c>
    </row>
    <row r="323" spans="1:6" x14ac:dyDescent="0.3">
      <c r="A323" t="s">
        <v>36</v>
      </c>
      <c r="B323" t="s">
        <v>101</v>
      </c>
      <c r="C323" t="s">
        <v>102</v>
      </c>
      <c r="D323" t="s">
        <v>7</v>
      </c>
      <c r="E323">
        <f>'Sold units'!$Y17</f>
        <v>2989</v>
      </c>
      <c r="F323" s="14">
        <f>'Sale value'!$Y17</f>
        <v>32594.400000000001</v>
      </c>
    </row>
    <row r="324" spans="1:6" x14ac:dyDescent="0.3">
      <c r="A324" t="s">
        <v>36</v>
      </c>
      <c r="B324" t="s">
        <v>23</v>
      </c>
      <c r="C324" t="s">
        <v>18</v>
      </c>
      <c r="D324" t="s">
        <v>11</v>
      </c>
      <c r="E324">
        <f>'Sold units'!$Z4</f>
        <v>205</v>
      </c>
      <c r="F324" s="14">
        <f>'Sale value'!$Z4</f>
        <v>2537.9</v>
      </c>
    </row>
    <row r="325" spans="1:6" x14ac:dyDescent="0.3">
      <c r="A325" t="s">
        <v>36</v>
      </c>
      <c r="B325" t="s">
        <v>23</v>
      </c>
      <c r="C325" t="s">
        <v>24</v>
      </c>
      <c r="D325" t="s">
        <v>11</v>
      </c>
      <c r="E325">
        <f>'Sold units'!$Z5</f>
        <v>604</v>
      </c>
      <c r="F325" s="14">
        <f>'Sale value'!$Z5</f>
        <v>4578.32</v>
      </c>
    </row>
    <row r="326" spans="1:6" x14ac:dyDescent="0.3">
      <c r="A326" t="s">
        <v>36</v>
      </c>
      <c r="B326" t="s">
        <v>23</v>
      </c>
      <c r="C326" t="s">
        <v>102</v>
      </c>
      <c r="D326" t="s">
        <v>11</v>
      </c>
      <c r="E326">
        <f>'Sold units'!$Z6</f>
        <v>809</v>
      </c>
      <c r="F326" s="14">
        <f>'Sale value'!$Z6</f>
        <v>7116.2199999999993</v>
      </c>
    </row>
    <row r="327" spans="1:6" x14ac:dyDescent="0.3">
      <c r="A327" t="s">
        <v>36</v>
      </c>
      <c r="B327" t="s">
        <v>21</v>
      </c>
      <c r="C327" t="s">
        <v>16</v>
      </c>
      <c r="D327" t="s">
        <v>11</v>
      </c>
      <c r="E327">
        <f>'Sold units'!$Z7</f>
        <v>250</v>
      </c>
      <c r="F327" s="14">
        <f>'Sale value'!$Z7</f>
        <v>2292.5</v>
      </c>
    </row>
    <row r="328" spans="1:6" x14ac:dyDescent="0.3">
      <c r="A328" t="s">
        <v>36</v>
      </c>
      <c r="B328" t="s">
        <v>21</v>
      </c>
      <c r="C328" t="s">
        <v>22</v>
      </c>
      <c r="D328" t="s">
        <v>11</v>
      </c>
      <c r="E328">
        <f>'Sold units'!$Z8</f>
        <v>600</v>
      </c>
      <c r="F328" s="14">
        <f>'Sale value'!$Z8</f>
        <v>6810</v>
      </c>
    </row>
    <row r="329" spans="1:6" x14ac:dyDescent="0.3">
      <c r="A329" t="s">
        <v>36</v>
      </c>
      <c r="B329" t="s">
        <v>21</v>
      </c>
      <c r="C329" t="s">
        <v>102</v>
      </c>
      <c r="D329" t="s">
        <v>11</v>
      </c>
      <c r="E329">
        <f>'Sold units'!$Z9</f>
        <v>850</v>
      </c>
      <c r="F329" s="14">
        <f>'Sale value'!$Z9</f>
        <v>9102.5</v>
      </c>
    </row>
    <row r="330" spans="1:6" x14ac:dyDescent="0.3">
      <c r="A330" t="s">
        <v>36</v>
      </c>
      <c r="B330" t="s">
        <v>13</v>
      </c>
      <c r="C330" t="s">
        <v>12</v>
      </c>
      <c r="D330" t="s">
        <v>11</v>
      </c>
      <c r="E330">
        <f>'Sold units'!$Z10</f>
        <v>817</v>
      </c>
      <c r="F330" s="14">
        <f>'Sale value'!$Z10</f>
        <v>5147.0999999999995</v>
      </c>
    </row>
    <row r="331" spans="1:6" x14ac:dyDescent="0.3">
      <c r="A331" t="s">
        <v>36</v>
      </c>
      <c r="B331" t="s">
        <v>13</v>
      </c>
      <c r="C331" t="s">
        <v>15</v>
      </c>
      <c r="D331" t="s">
        <v>11</v>
      </c>
      <c r="E331">
        <f>'Sold units'!$Z11</f>
        <v>320</v>
      </c>
      <c r="F331" s="14">
        <f>'Sale value'!$Z11</f>
        <v>4240</v>
      </c>
    </row>
    <row r="332" spans="1:6" x14ac:dyDescent="0.3">
      <c r="A332" t="s">
        <v>36</v>
      </c>
      <c r="B332" t="s">
        <v>13</v>
      </c>
      <c r="C332" t="s">
        <v>102</v>
      </c>
      <c r="D332" t="s">
        <v>11</v>
      </c>
      <c r="E332">
        <f>'Sold units'!$Z12</f>
        <v>1137</v>
      </c>
      <c r="F332" s="14">
        <f>'Sale value'!$Z12</f>
        <v>9387.0999999999985</v>
      </c>
    </row>
    <row r="333" spans="1:6" x14ac:dyDescent="0.3">
      <c r="A333" t="s">
        <v>36</v>
      </c>
      <c r="B333" t="s">
        <v>17</v>
      </c>
      <c r="C333" t="s">
        <v>14</v>
      </c>
      <c r="D333" t="s">
        <v>11</v>
      </c>
      <c r="E333">
        <f>'Sold units'!$Z13</f>
        <v>520</v>
      </c>
      <c r="F333" s="14">
        <f>'Sale value'!$Z13</f>
        <v>6869.2000000000007</v>
      </c>
    </row>
    <row r="334" spans="1:6" x14ac:dyDescent="0.3">
      <c r="A334" t="s">
        <v>36</v>
      </c>
      <c r="B334" t="s">
        <v>17</v>
      </c>
      <c r="C334" t="s">
        <v>102</v>
      </c>
      <c r="D334" t="s">
        <v>11</v>
      </c>
      <c r="E334">
        <f>'Sold units'!$Z14</f>
        <v>520</v>
      </c>
      <c r="F334" s="14">
        <f>'Sale value'!$Z14</f>
        <v>6869.2000000000007</v>
      </c>
    </row>
    <row r="335" spans="1:6" x14ac:dyDescent="0.3">
      <c r="A335" t="s">
        <v>36</v>
      </c>
      <c r="B335" t="s">
        <v>19</v>
      </c>
      <c r="C335" t="s">
        <v>20</v>
      </c>
      <c r="D335" t="s">
        <v>11</v>
      </c>
      <c r="E335">
        <f>'Sold units'!$Z15</f>
        <v>601</v>
      </c>
      <c r="F335" s="14">
        <f>'Sale value'!$Z15</f>
        <v>5727.53</v>
      </c>
    </row>
    <row r="336" spans="1:6" x14ac:dyDescent="0.3">
      <c r="A336" t="s">
        <v>36</v>
      </c>
      <c r="B336" t="s">
        <v>19</v>
      </c>
      <c r="C336" t="s">
        <v>102</v>
      </c>
      <c r="D336" t="s">
        <v>11</v>
      </c>
      <c r="E336">
        <f>'Sold units'!$Z16</f>
        <v>601</v>
      </c>
      <c r="F336" s="14">
        <f>'Sale value'!$Z16</f>
        <v>5727.53</v>
      </c>
    </row>
    <row r="337" spans="1:6" x14ac:dyDescent="0.3">
      <c r="A337" t="s">
        <v>36</v>
      </c>
      <c r="B337" t="s">
        <v>101</v>
      </c>
      <c r="C337" t="s">
        <v>102</v>
      </c>
      <c r="D337" t="s">
        <v>11</v>
      </c>
      <c r="E337">
        <f>'Sold units'!$Z17</f>
        <v>3917</v>
      </c>
      <c r="F337" s="14">
        <f>'Sale value'!$Z17</f>
        <v>38202.549999999996</v>
      </c>
    </row>
    <row r="338" spans="1:6" x14ac:dyDescent="0.3">
      <c r="A338" t="s">
        <v>36</v>
      </c>
      <c r="B338" t="s">
        <v>23</v>
      </c>
      <c r="C338" t="s">
        <v>18</v>
      </c>
      <c r="D338" t="s">
        <v>10</v>
      </c>
      <c r="E338">
        <f>'Sold units'!$AA4</f>
        <v>205</v>
      </c>
      <c r="F338" s="14">
        <f>'Sale value'!$AA4</f>
        <v>2537.9</v>
      </c>
    </row>
    <row r="339" spans="1:6" x14ac:dyDescent="0.3">
      <c r="A339" t="s">
        <v>36</v>
      </c>
      <c r="B339" t="s">
        <v>23</v>
      </c>
      <c r="C339" t="s">
        <v>24</v>
      </c>
      <c r="D339" t="s">
        <v>10</v>
      </c>
      <c r="E339">
        <f>'Sold units'!$AA5</f>
        <v>604</v>
      </c>
      <c r="F339" s="14">
        <f>'Sale value'!$AA5</f>
        <v>4578.32</v>
      </c>
    </row>
    <row r="340" spans="1:6" x14ac:dyDescent="0.3">
      <c r="A340" t="s">
        <v>36</v>
      </c>
      <c r="B340" t="s">
        <v>23</v>
      </c>
      <c r="C340" t="s">
        <v>102</v>
      </c>
      <c r="D340" t="s">
        <v>10</v>
      </c>
      <c r="E340">
        <f>'Sold units'!$AA6</f>
        <v>809</v>
      </c>
      <c r="F340" s="14">
        <f>'Sale value'!$AA6</f>
        <v>7116.2199999999993</v>
      </c>
    </row>
    <row r="341" spans="1:6" x14ac:dyDescent="0.3">
      <c r="A341" t="s">
        <v>36</v>
      </c>
      <c r="B341" t="s">
        <v>21</v>
      </c>
      <c r="C341" t="s">
        <v>16</v>
      </c>
      <c r="D341" t="s">
        <v>10</v>
      </c>
      <c r="E341">
        <f>'Sold units'!$AA7</f>
        <v>250</v>
      </c>
      <c r="F341" s="14">
        <f>'Sale value'!$AA7</f>
        <v>2292.5</v>
      </c>
    </row>
    <row r="342" spans="1:6" x14ac:dyDescent="0.3">
      <c r="A342" t="s">
        <v>36</v>
      </c>
      <c r="B342" t="s">
        <v>21</v>
      </c>
      <c r="C342" t="s">
        <v>22</v>
      </c>
      <c r="D342" t="s">
        <v>10</v>
      </c>
      <c r="E342">
        <f>'Sold units'!$AA8</f>
        <v>600</v>
      </c>
      <c r="F342" s="14">
        <f>'Sale value'!$AA8</f>
        <v>6810</v>
      </c>
    </row>
    <row r="343" spans="1:6" x14ac:dyDescent="0.3">
      <c r="A343" t="s">
        <v>36</v>
      </c>
      <c r="B343" t="s">
        <v>21</v>
      </c>
      <c r="C343" t="s">
        <v>102</v>
      </c>
      <c r="D343" t="s">
        <v>10</v>
      </c>
      <c r="E343">
        <f>'Sold units'!$AA9</f>
        <v>850</v>
      </c>
      <c r="F343" s="14">
        <f>'Sale value'!$AA9</f>
        <v>9102.5</v>
      </c>
    </row>
    <row r="344" spans="1:6" x14ac:dyDescent="0.3">
      <c r="A344" t="s">
        <v>36</v>
      </c>
      <c r="B344" t="s">
        <v>13</v>
      </c>
      <c r="C344" t="s">
        <v>12</v>
      </c>
      <c r="D344" t="s">
        <v>10</v>
      </c>
      <c r="E344">
        <f>'Sold units'!$AA10</f>
        <v>817</v>
      </c>
      <c r="F344" s="14">
        <f>'Sale value'!$AA10</f>
        <v>5147.0999999999995</v>
      </c>
    </row>
    <row r="345" spans="1:6" x14ac:dyDescent="0.3">
      <c r="A345" t="s">
        <v>36</v>
      </c>
      <c r="B345" t="s">
        <v>13</v>
      </c>
      <c r="C345" t="s">
        <v>15</v>
      </c>
      <c r="D345" t="s">
        <v>10</v>
      </c>
      <c r="E345">
        <f>'Sold units'!$AA11</f>
        <v>320</v>
      </c>
      <c r="F345" s="14">
        <f>'Sale value'!$AA11</f>
        <v>4240</v>
      </c>
    </row>
    <row r="346" spans="1:6" x14ac:dyDescent="0.3">
      <c r="A346" t="s">
        <v>36</v>
      </c>
      <c r="B346" t="s">
        <v>13</v>
      </c>
      <c r="C346" t="s">
        <v>102</v>
      </c>
      <c r="D346" t="s">
        <v>10</v>
      </c>
      <c r="E346">
        <f>'Sold units'!$AA12</f>
        <v>1137</v>
      </c>
      <c r="F346" s="14">
        <f>'Sale value'!$AA12</f>
        <v>9387.0999999999985</v>
      </c>
    </row>
    <row r="347" spans="1:6" x14ac:dyDescent="0.3">
      <c r="A347" t="s">
        <v>36</v>
      </c>
      <c r="B347" t="s">
        <v>17</v>
      </c>
      <c r="C347" t="s">
        <v>14</v>
      </c>
      <c r="D347" t="s">
        <v>10</v>
      </c>
      <c r="E347">
        <f>'Sold units'!$AA13</f>
        <v>520</v>
      </c>
      <c r="F347" s="14">
        <f>'Sale value'!$AA13</f>
        <v>6869.2000000000007</v>
      </c>
    </row>
    <row r="348" spans="1:6" x14ac:dyDescent="0.3">
      <c r="A348" t="s">
        <v>36</v>
      </c>
      <c r="B348" t="s">
        <v>17</v>
      </c>
      <c r="C348" t="s">
        <v>102</v>
      </c>
      <c r="D348" t="s">
        <v>10</v>
      </c>
      <c r="E348">
        <f>'Sold units'!$AA14</f>
        <v>520</v>
      </c>
      <c r="F348" s="14">
        <f>'Sale value'!$AA14</f>
        <v>6869.2000000000007</v>
      </c>
    </row>
    <row r="349" spans="1:6" x14ac:dyDescent="0.3">
      <c r="A349" t="s">
        <v>36</v>
      </c>
      <c r="B349" t="s">
        <v>19</v>
      </c>
      <c r="C349" t="s">
        <v>20</v>
      </c>
      <c r="D349" t="s">
        <v>10</v>
      </c>
      <c r="E349">
        <f>'Sold units'!$AA15</f>
        <v>601</v>
      </c>
      <c r="F349" s="14">
        <f>'Sale value'!$AA15</f>
        <v>5727.53</v>
      </c>
    </row>
    <row r="350" spans="1:6" x14ac:dyDescent="0.3">
      <c r="A350" t="s">
        <v>36</v>
      </c>
      <c r="B350" t="s">
        <v>19</v>
      </c>
      <c r="C350" t="s">
        <v>102</v>
      </c>
      <c r="D350" t="s">
        <v>10</v>
      </c>
      <c r="E350">
        <f>'Sold units'!$AA16</f>
        <v>601</v>
      </c>
      <c r="F350" s="14">
        <f>'Sale value'!$AA16</f>
        <v>5727.53</v>
      </c>
    </row>
    <row r="351" spans="1:6" x14ac:dyDescent="0.3">
      <c r="A351" t="s">
        <v>36</v>
      </c>
      <c r="B351" t="s">
        <v>101</v>
      </c>
      <c r="C351" t="s">
        <v>102</v>
      </c>
      <c r="D351" t="s">
        <v>10</v>
      </c>
      <c r="E351">
        <f>'Sold units'!$AA17</f>
        <v>3917</v>
      </c>
      <c r="F351" s="14">
        <f>'Sale value'!$AA17</f>
        <v>38202.549999999996</v>
      </c>
    </row>
    <row r="352" spans="1:6" x14ac:dyDescent="0.3">
      <c r="A352" t="s">
        <v>36</v>
      </c>
      <c r="B352" t="s">
        <v>23</v>
      </c>
      <c r="C352" t="s">
        <v>18</v>
      </c>
      <c r="D352" t="s">
        <v>69</v>
      </c>
      <c r="E352">
        <f>'Sold units'!$AB4</f>
        <v>3450</v>
      </c>
      <c r="F352" s="14">
        <f>'Sale value'!$AB4</f>
        <v>32271.420000000002</v>
      </c>
    </row>
    <row r="353" spans="1:6" x14ac:dyDescent="0.3">
      <c r="A353" t="s">
        <v>36</v>
      </c>
      <c r="B353" t="s">
        <v>23</v>
      </c>
      <c r="C353" t="s">
        <v>24</v>
      </c>
      <c r="D353" t="s">
        <v>69</v>
      </c>
      <c r="E353">
        <f>'Sold units'!$AB5</f>
        <v>2337</v>
      </c>
      <c r="F353" s="14">
        <f>'Sale value'!$AB5</f>
        <v>21172.6</v>
      </c>
    </row>
    <row r="354" spans="1:6" x14ac:dyDescent="0.3">
      <c r="A354" t="s">
        <v>36</v>
      </c>
      <c r="B354" t="s">
        <v>23</v>
      </c>
      <c r="C354" t="s">
        <v>102</v>
      </c>
      <c r="D354" t="s">
        <v>69</v>
      </c>
      <c r="E354">
        <f>'Sold units'!$AB6</f>
        <v>5787</v>
      </c>
      <c r="F354" s="14">
        <f>'Sale value'!$AB6</f>
        <v>53444.02</v>
      </c>
    </row>
    <row r="355" spans="1:6" x14ac:dyDescent="0.3">
      <c r="A355" t="s">
        <v>36</v>
      </c>
      <c r="B355" t="s">
        <v>21</v>
      </c>
      <c r="C355" t="s">
        <v>16</v>
      </c>
      <c r="D355" t="s">
        <v>69</v>
      </c>
      <c r="E355">
        <f>'Sold units'!$AB7</f>
        <v>2172</v>
      </c>
      <c r="F355" s="14">
        <f>'Sale value'!$AB7</f>
        <v>24562.569999999996</v>
      </c>
    </row>
    <row r="356" spans="1:6" x14ac:dyDescent="0.3">
      <c r="A356" t="s">
        <v>36</v>
      </c>
      <c r="B356" t="s">
        <v>21</v>
      </c>
      <c r="C356" t="s">
        <v>22</v>
      </c>
      <c r="D356" t="s">
        <v>69</v>
      </c>
      <c r="E356">
        <f>'Sold units'!$AB8</f>
        <v>2936</v>
      </c>
      <c r="F356" s="14">
        <f>'Sale value'!$AB8</f>
        <v>36210.75</v>
      </c>
    </row>
    <row r="357" spans="1:6" x14ac:dyDescent="0.3">
      <c r="A357" t="s">
        <v>36</v>
      </c>
      <c r="B357" t="s">
        <v>21</v>
      </c>
      <c r="C357" t="s">
        <v>102</v>
      </c>
      <c r="D357" t="s">
        <v>69</v>
      </c>
      <c r="E357">
        <f>'Sold units'!$AB9</f>
        <v>5108</v>
      </c>
      <c r="F357" s="14">
        <f>'Sale value'!$AB9</f>
        <v>60773.319999999992</v>
      </c>
    </row>
    <row r="358" spans="1:6" x14ac:dyDescent="0.3">
      <c r="A358" t="s">
        <v>36</v>
      </c>
      <c r="B358" t="s">
        <v>13</v>
      </c>
      <c r="C358" t="s">
        <v>12</v>
      </c>
      <c r="D358" t="s">
        <v>69</v>
      </c>
      <c r="E358">
        <f>'Sold units'!$AB10</f>
        <v>2555</v>
      </c>
      <c r="F358" s="14">
        <f>'Sale value'!$AB10</f>
        <v>24910.16</v>
      </c>
    </row>
    <row r="359" spans="1:6" x14ac:dyDescent="0.3">
      <c r="A359" t="s">
        <v>36</v>
      </c>
      <c r="B359" t="s">
        <v>13</v>
      </c>
      <c r="C359" t="s">
        <v>15</v>
      </c>
      <c r="D359" t="s">
        <v>69</v>
      </c>
      <c r="E359">
        <f>'Sold units'!$AB11</f>
        <v>3482</v>
      </c>
      <c r="F359" s="14">
        <f>'Sale value'!$AB11</f>
        <v>35370.71</v>
      </c>
    </row>
    <row r="360" spans="1:6" x14ac:dyDescent="0.3">
      <c r="A360" t="s">
        <v>36</v>
      </c>
      <c r="B360" t="s">
        <v>13</v>
      </c>
      <c r="C360" t="s">
        <v>102</v>
      </c>
      <c r="D360" t="s">
        <v>69</v>
      </c>
      <c r="E360">
        <f>'Sold units'!$AB12</f>
        <v>6037</v>
      </c>
      <c r="F360" s="14">
        <f>'Sale value'!$AB12</f>
        <v>60280.869999999995</v>
      </c>
    </row>
    <row r="361" spans="1:6" x14ac:dyDescent="0.3">
      <c r="A361" t="s">
        <v>36</v>
      </c>
      <c r="B361" t="s">
        <v>17</v>
      </c>
      <c r="C361" t="s">
        <v>14</v>
      </c>
      <c r="D361" t="s">
        <v>69</v>
      </c>
      <c r="E361">
        <f>'Sold units'!$AB13</f>
        <v>3665</v>
      </c>
      <c r="F361" s="14">
        <f>'Sale value'!$AB13</f>
        <v>38300.490000000005</v>
      </c>
    </row>
    <row r="362" spans="1:6" x14ac:dyDescent="0.3">
      <c r="A362" t="s">
        <v>36</v>
      </c>
      <c r="B362" t="s">
        <v>17</v>
      </c>
      <c r="C362" t="s">
        <v>102</v>
      </c>
      <c r="D362" t="s">
        <v>69</v>
      </c>
      <c r="E362">
        <f>'Sold units'!$AB14</f>
        <v>3665</v>
      </c>
      <c r="F362" s="14">
        <f>'Sale value'!$AB14</f>
        <v>38300.490000000005</v>
      </c>
    </row>
    <row r="363" spans="1:6" x14ac:dyDescent="0.3">
      <c r="A363" t="s">
        <v>36</v>
      </c>
      <c r="B363" t="s">
        <v>19</v>
      </c>
      <c r="C363" t="s">
        <v>20</v>
      </c>
      <c r="D363" t="s">
        <v>69</v>
      </c>
      <c r="E363">
        <f>'Sold units'!$AB15</f>
        <v>2267</v>
      </c>
      <c r="F363" s="14">
        <f>'Sale value'!$AB15</f>
        <v>21818.57</v>
      </c>
    </row>
    <row r="364" spans="1:6" x14ac:dyDescent="0.3">
      <c r="A364" t="s">
        <v>36</v>
      </c>
      <c r="B364" t="s">
        <v>19</v>
      </c>
      <c r="C364" t="s">
        <v>102</v>
      </c>
      <c r="D364" t="s">
        <v>69</v>
      </c>
      <c r="E364">
        <f>'Sold units'!$AB16</f>
        <v>2267</v>
      </c>
      <c r="F364" s="14">
        <f>'Sale value'!$AB16</f>
        <v>21818.57</v>
      </c>
    </row>
    <row r="365" spans="1:6" x14ac:dyDescent="0.3">
      <c r="A365" t="s">
        <v>36</v>
      </c>
      <c r="B365" t="s">
        <v>101</v>
      </c>
      <c r="C365" t="s">
        <v>102</v>
      </c>
      <c r="D365" t="s">
        <v>69</v>
      </c>
      <c r="E365">
        <f>'Sold units'!$AB17</f>
        <v>22864</v>
      </c>
      <c r="F365" s="14">
        <f>'Sale value'!$AB17</f>
        <v>234617.26999999996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Sold units</vt:lpstr>
      <vt:lpstr>Price value</vt:lpstr>
      <vt:lpstr>Sale value</vt:lpstr>
      <vt:lpstr>Time</vt:lpstr>
      <vt:lpstr>Products</vt:lpstr>
      <vt:lpstr>Cities</vt:lpstr>
      <vt:lpstr>Stores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Fernandez</dc:creator>
  <cp:lastModifiedBy>Andres Fernandez</cp:lastModifiedBy>
  <dcterms:created xsi:type="dcterms:W3CDTF">2018-06-22T13:52:22Z</dcterms:created>
  <dcterms:modified xsi:type="dcterms:W3CDTF">2018-09-10T17:07:40Z</dcterms:modified>
</cp:coreProperties>
</file>